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5A0C50AD-1D61-4275-BF6C-43F6A55FD377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shboard" sheetId="1" r:id="rId1"/>
    <sheet name="Read Me" sheetId="2" r:id="rId2"/>
    <sheet name="Suppliers" sheetId="3" r:id="rId3"/>
    <sheet name="Inventory" sheetId="4" r:id="rId4"/>
    <sheet name="Purchase Orders" sheetId="5" r:id="rId5"/>
    <sheet name="ChartData" sheetId="6" state="hidden" r:id="rId6"/>
  </sheets>
  <calcPr calcId="191029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6" l="1"/>
  <c r="G8" i="6"/>
  <c r="G7" i="6"/>
  <c r="G6" i="6"/>
  <c r="B6" i="6"/>
  <c r="G5" i="6"/>
  <c r="G4" i="6"/>
  <c r="L3" i="6"/>
  <c r="G3" i="6"/>
  <c r="G2" i="6"/>
  <c r="N91" i="5"/>
  <c r="L91" i="5"/>
  <c r="M91" i="5" s="1"/>
  <c r="K91" i="5"/>
  <c r="N90" i="5"/>
  <c r="M90" i="5"/>
  <c r="L90" i="5"/>
  <c r="K90" i="5"/>
  <c r="N89" i="5"/>
  <c r="M89" i="5"/>
  <c r="L89" i="5"/>
  <c r="K89" i="5"/>
  <c r="N88" i="5"/>
  <c r="L88" i="5"/>
  <c r="M88" i="5" s="1"/>
  <c r="K88" i="5"/>
  <c r="N87" i="5"/>
  <c r="M87" i="5"/>
  <c r="L87" i="5"/>
  <c r="K87" i="5"/>
  <c r="N86" i="5"/>
  <c r="L86" i="5"/>
  <c r="M86" i="5" s="1"/>
  <c r="K86" i="5"/>
  <c r="N85" i="5"/>
  <c r="L85" i="5"/>
  <c r="M85" i="5" s="1"/>
  <c r="K85" i="5"/>
  <c r="N84" i="5"/>
  <c r="M84" i="5"/>
  <c r="L84" i="5"/>
  <c r="K84" i="5"/>
  <c r="N83" i="5"/>
  <c r="L83" i="5"/>
  <c r="M83" i="5" s="1"/>
  <c r="K83" i="5"/>
  <c r="N82" i="5"/>
  <c r="L82" i="5"/>
  <c r="M82" i="5" s="1"/>
  <c r="K82" i="5"/>
  <c r="N81" i="5"/>
  <c r="M81" i="5"/>
  <c r="L81" i="5"/>
  <c r="K81" i="5"/>
  <c r="N80" i="5"/>
  <c r="L80" i="5"/>
  <c r="M80" i="5" s="1"/>
  <c r="K80" i="5"/>
  <c r="N79" i="5"/>
  <c r="L79" i="5"/>
  <c r="M79" i="5" s="1"/>
  <c r="K79" i="5"/>
  <c r="N78" i="5"/>
  <c r="M78" i="5"/>
  <c r="L78" i="5"/>
  <c r="K78" i="5"/>
  <c r="N77" i="5"/>
  <c r="L77" i="5"/>
  <c r="M77" i="5" s="1"/>
  <c r="K77" i="5"/>
  <c r="N76" i="5"/>
  <c r="L76" i="5"/>
  <c r="M76" i="5" s="1"/>
  <c r="K76" i="5"/>
  <c r="N75" i="5"/>
  <c r="M75" i="5"/>
  <c r="L75" i="5"/>
  <c r="K75" i="5"/>
  <c r="N74" i="5"/>
  <c r="L74" i="5"/>
  <c r="M74" i="5" s="1"/>
  <c r="K74" i="5"/>
  <c r="N73" i="5"/>
  <c r="L73" i="5"/>
  <c r="M73" i="5" s="1"/>
  <c r="K73" i="5"/>
  <c r="N72" i="5"/>
  <c r="M72" i="5"/>
  <c r="L72" i="5"/>
  <c r="K72" i="5"/>
  <c r="N71" i="5"/>
  <c r="L71" i="5"/>
  <c r="M71" i="5" s="1"/>
  <c r="K71" i="5"/>
  <c r="N70" i="5"/>
  <c r="L70" i="5"/>
  <c r="M70" i="5" s="1"/>
  <c r="K70" i="5"/>
  <c r="N69" i="5"/>
  <c r="M69" i="5"/>
  <c r="L69" i="5"/>
  <c r="K69" i="5"/>
  <c r="N68" i="5"/>
  <c r="L68" i="5"/>
  <c r="M68" i="5" s="1"/>
  <c r="K68" i="5"/>
  <c r="N67" i="5"/>
  <c r="L67" i="5"/>
  <c r="M67" i="5" s="1"/>
  <c r="K67" i="5"/>
  <c r="N66" i="5"/>
  <c r="M66" i="5"/>
  <c r="L66" i="5"/>
  <c r="K66" i="5"/>
  <c r="N65" i="5"/>
  <c r="L65" i="5"/>
  <c r="M65" i="5" s="1"/>
  <c r="K65" i="5"/>
  <c r="N64" i="5"/>
  <c r="L64" i="5"/>
  <c r="M64" i="5" s="1"/>
  <c r="K64" i="5"/>
  <c r="N63" i="5"/>
  <c r="M63" i="5"/>
  <c r="L63" i="5"/>
  <c r="K63" i="5"/>
  <c r="N62" i="5"/>
  <c r="L62" i="5"/>
  <c r="M62" i="5" s="1"/>
  <c r="K62" i="5"/>
  <c r="N61" i="5"/>
  <c r="L61" i="5"/>
  <c r="M61" i="5" s="1"/>
  <c r="K61" i="5"/>
  <c r="N60" i="5"/>
  <c r="M60" i="5"/>
  <c r="L60" i="5"/>
  <c r="K60" i="5"/>
  <c r="N59" i="5"/>
  <c r="L59" i="5"/>
  <c r="M59" i="5" s="1"/>
  <c r="K59" i="5"/>
  <c r="N58" i="5"/>
  <c r="L58" i="5"/>
  <c r="M58" i="5" s="1"/>
  <c r="K58" i="5"/>
  <c r="N57" i="5"/>
  <c r="M57" i="5"/>
  <c r="L57" i="5"/>
  <c r="K57" i="5"/>
  <c r="N56" i="5"/>
  <c r="L56" i="5"/>
  <c r="M56" i="5" s="1"/>
  <c r="K56" i="5"/>
  <c r="N55" i="5"/>
  <c r="L55" i="5"/>
  <c r="M55" i="5" s="1"/>
  <c r="K55" i="5"/>
  <c r="N54" i="5"/>
  <c r="M54" i="5"/>
  <c r="L54" i="5"/>
  <c r="K54" i="5"/>
  <c r="N53" i="5"/>
  <c r="L53" i="5"/>
  <c r="M53" i="5" s="1"/>
  <c r="K53" i="5"/>
  <c r="N52" i="5"/>
  <c r="M52" i="5"/>
  <c r="L52" i="5"/>
  <c r="K52" i="5"/>
  <c r="N51" i="5"/>
  <c r="M51" i="5"/>
  <c r="L51" i="5"/>
  <c r="K51" i="5"/>
  <c r="N50" i="5"/>
  <c r="L50" i="5"/>
  <c r="M50" i="5" s="1"/>
  <c r="K50" i="5"/>
  <c r="N49" i="5"/>
  <c r="L49" i="5"/>
  <c r="M49" i="5" s="1"/>
  <c r="K49" i="5"/>
  <c r="N48" i="5"/>
  <c r="M48" i="5"/>
  <c r="L48" i="5"/>
  <c r="K48" i="5"/>
  <c r="N47" i="5"/>
  <c r="L47" i="5"/>
  <c r="M47" i="5" s="1"/>
  <c r="K47" i="5"/>
  <c r="N46" i="5"/>
  <c r="L46" i="5"/>
  <c r="M46" i="5" s="1"/>
  <c r="K46" i="5"/>
  <c r="N45" i="5"/>
  <c r="M45" i="5"/>
  <c r="L45" i="5"/>
  <c r="K45" i="5"/>
  <c r="I8" i="3" s="1"/>
  <c r="I8" i="6" s="1"/>
  <c r="N44" i="5"/>
  <c r="L44" i="5"/>
  <c r="M44" i="5" s="1"/>
  <c r="K44" i="5"/>
  <c r="N43" i="5"/>
  <c r="L43" i="5"/>
  <c r="M43" i="5" s="1"/>
  <c r="K43" i="5"/>
  <c r="N42" i="5"/>
  <c r="M42" i="5"/>
  <c r="L42" i="5"/>
  <c r="K42" i="5"/>
  <c r="N41" i="5"/>
  <c r="L41" i="5"/>
  <c r="M41" i="5" s="1"/>
  <c r="K41" i="5"/>
  <c r="N40" i="5"/>
  <c r="L40" i="5"/>
  <c r="M40" i="5" s="1"/>
  <c r="K40" i="5"/>
  <c r="N39" i="5"/>
  <c r="M39" i="5"/>
  <c r="L39" i="5"/>
  <c r="K39" i="5"/>
  <c r="N38" i="5"/>
  <c r="L38" i="5"/>
  <c r="M38" i="5" s="1"/>
  <c r="K38" i="5"/>
  <c r="N37" i="5"/>
  <c r="L37" i="5"/>
  <c r="M37" i="5" s="1"/>
  <c r="K37" i="5"/>
  <c r="N36" i="5"/>
  <c r="M36" i="5"/>
  <c r="L36" i="5"/>
  <c r="K36" i="5"/>
  <c r="N35" i="5"/>
  <c r="L35" i="5"/>
  <c r="M35" i="5" s="1"/>
  <c r="K35" i="5"/>
  <c r="N34" i="5"/>
  <c r="L34" i="5"/>
  <c r="M34" i="5" s="1"/>
  <c r="K34" i="5"/>
  <c r="N33" i="5"/>
  <c r="M33" i="5"/>
  <c r="L33" i="5"/>
  <c r="K33" i="5"/>
  <c r="N32" i="5"/>
  <c r="L32" i="5"/>
  <c r="M32" i="5" s="1"/>
  <c r="J4" i="3" s="1"/>
  <c r="H4" i="6" s="1"/>
  <c r="K32" i="5"/>
  <c r="N31" i="5"/>
  <c r="L31" i="5"/>
  <c r="M31" i="5" s="1"/>
  <c r="K31" i="5"/>
  <c r="N30" i="5"/>
  <c r="M30" i="5"/>
  <c r="L30" i="5"/>
  <c r="K30" i="5"/>
  <c r="N29" i="5"/>
  <c r="M29" i="5"/>
  <c r="L29" i="5"/>
  <c r="K29" i="5"/>
  <c r="N28" i="5"/>
  <c r="L28" i="5"/>
  <c r="M28" i="5" s="1"/>
  <c r="J9" i="3" s="1"/>
  <c r="H9" i="6" s="1"/>
  <c r="K28" i="5"/>
  <c r="N27" i="5"/>
  <c r="M27" i="5"/>
  <c r="L27" i="5"/>
  <c r="K27" i="5"/>
  <c r="N26" i="5"/>
  <c r="M26" i="5"/>
  <c r="L26" i="5"/>
  <c r="K26" i="5"/>
  <c r="N25" i="5"/>
  <c r="L25" i="5"/>
  <c r="M25" i="5" s="1"/>
  <c r="K25" i="5"/>
  <c r="N24" i="5"/>
  <c r="M24" i="5"/>
  <c r="L24" i="5"/>
  <c r="K24" i="5"/>
  <c r="N23" i="5"/>
  <c r="L23" i="5"/>
  <c r="M23" i="5" s="1"/>
  <c r="K23" i="5"/>
  <c r="N22" i="5"/>
  <c r="L22" i="5"/>
  <c r="M22" i="5" s="1"/>
  <c r="K22" i="5"/>
  <c r="N21" i="5"/>
  <c r="M21" i="5"/>
  <c r="L21" i="5"/>
  <c r="K21" i="5"/>
  <c r="N20" i="5"/>
  <c r="L20" i="5"/>
  <c r="M20" i="5" s="1"/>
  <c r="K20" i="5"/>
  <c r="N19" i="5"/>
  <c r="L19" i="5"/>
  <c r="M19" i="5" s="1"/>
  <c r="K19" i="5"/>
  <c r="N18" i="5"/>
  <c r="M18" i="5"/>
  <c r="J6" i="3" s="1"/>
  <c r="H6" i="6" s="1"/>
  <c r="L18" i="5"/>
  <c r="K18" i="5"/>
  <c r="N17" i="5"/>
  <c r="L17" i="5"/>
  <c r="M17" i="5" s="1"/>
  <c r="K17" i="5"/>
  <c r="N16" i="5"/>
  <c r="M16" i="5"/>
  <c r="L16" i="5"/>
  <c r="K16" i="5"/>
  <c r="N15" i="5"/>
  <c r="M15" i="5"/>
  <c r="L15" i="5"/>
  <c r="K15" i="5"/>
  <c r="I9" i="3" s="1"/>
  <c r="I9" i="6" s="1"/>
  <c r="N14" i="5"/>
  <c r="L14" i="5"/>
  <c r="M14" i="5" s="1"/>
  <c r="K14" i="5"/>
  <c r="N13" i="5"/>
  <c r="M13" i="5"/>
  <c r="L13" i="5"/>
  <c r="K13" i="5"/>
  <c r="N12" i="5"/>
  <c r="M12" i="5"/>
  <c r="L12" i="5"/>
  <c r="K12" i="5"/>
  <c r="N11" i="5"/>
  <c r="L11" i="5"/>
  <c r="M11" i="5" s="1"/>
  <c r="J3" i="3" s="1"/>
  <c r="H3" i="6" s="1"/>
  <c r="K11" i="5"/>
  <c r="N10" i="5"/>
  <c r="L10" i="5"/>
  <c r="M10" i="5" s="1"/>
  <c r="J8" i="3" s="1"/>
  <c r="H8" i="6" s="1"/>
  <c r="K10" i="5"/>
  <c r="N9" i="5"/>
  <c r="M9" i="5"/>
  <c r="L9" i="5"/>
  <c r="K9" i="5"/>
  <c r="N8" i="5"/>
  <c r="L8" i="5"/>
  <c r="M8" i="5" s="1"/>
  <c r="K8" i="5"/>
  <c r="N7" i="5"/>
  <c r="M7" i="5"/>
  <c r="L7" i="5"/>
  <c r="K7" i="5"/>
  <c r="N6" i="5"/>
  <c r="M6" i="5"/>
  <c r="L6" i="5"/>
  <c r="K6" i="5"/>
  <c r="N5" i="5"/>
  <c r="L5" i="5"/>
  <c r="M5" i="5" s="1"/>
  <c r="J5" i="3" s="1"/>
  <c r="H5" i="6" s="1"/>
  <c r="K5" i="5"/>
  <c r="N4" i="5"/>
  <c r="L4" i="5"/>
  <c r="M4" i="5" s="1"/>
  <c r="J7" i="3" s="1"/>
  <c r="H7" i="6" s="1"/>
  <c r="K4" i="5"/>
  <c r="N3" i="5"/>
  <c r="M3" i="5"/>
  <c r="L3" i="5"/>
  <c r="K3" i="5"/>
  <c r="I5" i="3" s="1"/>
  <c r="I5" i="6" s="1"/>
  <c r="N2" i="5"/>
  <c r="M2" i="5"/>
  <c r="L2" i="5"/>
  <c r="K2" i="5"/>
  <c r="L6" i="6" s="1"/>
  <c r="R49" i="4"/>
  <c r="Q49" i="4"/>
  <c r="P49" i="4"/>
  <c r="O49" i="4"/>
  <c r="N49" i="4"/>
  <c r="Q48" i="4"/>
  <c r="P48" i="4"/>
  <c r="R48" i="4" s="1"/>
  <c r="O48" i="4"/>
  <c r="N48" i="4"/>
  <c r="Q47" i="4"/>
  <c r="P47" i="4"/>
  <c r="R47" i="4" s="1"/>
  <c r="O47" i="4"/>
  <c r="N47" i="4"/>
  <c r="Q46" i="4"/>
  <c r="P46" i="4"/>
  <c r="R46" i="4" s="1"/>
  <c r="O46" i="4"/>
  <c r="N46" i="4"/>
  <c r="Q45" i="4"/>
  <c r="P45" i="4"/>
  <c r="R45" i="4" s="1"/>
  <c r="O45" i="4"/>
  <c r="N45" i="4"/>
  <c r="Q44" i="4"/>
  <c r="O44" i="4"/>
  <c r="P44" i="4" s="1"/>
  <c r="R44" i="4" s="1"/>
  <c r="N44" i="4"/>
  <c r="Q43" i="4"/>
  <c r="O43" i="4"/>
  <c r="P43" i="4" s="1"/>
  <c r="R43" i="4" s="1"/>
  <c r="N43" i="4"/>
  <c r="Q42" i="4"/>
  <c r="O42" i="4"/>
  <c r="P42" i="4" s="1"/>
  <c r="R42" i="4" s="1"/>
  <c r="N42" i="4"/>
  <c r="Q41" i="4"/>
  <c r="O41" i="4"/>
  <c r="P41" i="4" s="1"/>
  <c r="R41" i="4" s="1"/>
  <c r="N41" i="4"/>
  <c r="Q40" i="4"/>
  <c r="O40" i="4"/>
  <c r="P40" i="4" s="1"/>
  <c r="R40" i="4" s="1"/>
  <c r="N40" i="4"/>
  <c r="Q39" i="4"/>
  <c r="O39" i="4"/>
  <c r="P39" i="4" s="1"/>
  <c r="R39" i="4" s="1"/>
  <c r="N39" i="4"/>
  <c r="Q38" i="4"/>
  <c r="O38" i="4"/>
  <c r="P38" i="4" s="1"/>
  <c r="R38" i="4" s="1"/>
  <c r="N38" i="4"/>
  <c r="R37" i="4"/>
  <c r="Q37" i="4"/>
  <c r="P37" i="4"/>
  <c r="O37" i="4"/>
  <c r="N37" i="4"/>
  <c r="Q36" i="4"/>
  <c r="P36" i="4"/>
  <c r="R36" i="4" s="1"/>
  <c r="O36" i="4"/>
  <c r="N36" i="4"/>
  <c r="Q35" i="4"/>
  <c r="P35" i="4"/>
  <c r="R35" i="4" s="1"/>
  <c r="O35" i="4"/>
  <c r="N35" i="4"/>
  <c r="Q34" i="4"/>
  <c r="P34" i="4"/>
  <c r="R34" i="4" s="1"/>
  <c r="O34" i="4"/>
  <c r="N34" i="4"/>
  <c r="Q33" i="4"/>
  <c r="P33" i="4"/>
  <c r="R33" i="4" s="1"/>
  <c r="O33" i="4"/>
  <c r="N33" i="4"/>
  <c r="Q32" i="4"/>
  <c r="O32" i="4"/>
  <c r="P32" i="4" s="1"/>
  <c r="R32" i="4" s="1"/>
  <c r="N32" i="4"/>
  <c r="Q31" i="4"/>
  <c r="P31" i="4"/>
  <c r="R31" i="4" s="1"/>
  <c r="O31" i="4"/>
  <c r="N31" i="4"/>
  <c r="Q30" i="4"/>
  <c r="P30" i="4"/>
  <c r="O30" i="4"/>
  <c r="R30" i="4" s="1"/>
  <c r="N30" i="4"/>
  <c r="Q29" i="4"/>
  <c r="O29" i="4"/>
  <c r="P29" i="4" s="1"/>
  <c r="R29" i="4" s="1"/>
  <c r="N29" i="4"/>
  <c r="Q28" i="4"/>
  <c r="O28" i="4"/>
  <c r="P28" i="4" s="1"/>
  <c r="R28" i="4" s="1"/>
  <c r="N28" i="4"/>
  <c r="Q27" i="4"/>
  <c r="O27" i="4"/>
  <c r="P27" i="4" s="1"/>
  <c r="R27" i="4" s="1"/>
  <c r="N27" i="4"/>
  <c r="Q26" i="4"/>
  <c r="O26" i="4"/>
  <c r="P26" i="4" s="1"/>
  <c r="R26" i="4" s="1"/>
  <c r="N26" i="4"/>
  <c r="R25" i="4"/>
  <c r="Q25" i="4"/>
  <c r="P25" i="4"/>
  <c r="O25" i="4"/>
  <c r="N25" i="4"/>
  <c r="Q24" i="4"/>
  <c r="P24" i="4"/>
  <c r="R24" i="4" s="1"/>
  <c r="O24" i="4"/>
  <c r="N24" i="4"/>
  <c r="Q23" i="4"/>
  <c r="P23" i="4"/>
  <c r="R23" i="4" s="1"/>
  <c r="O23" i="4"/>
  <c r="N23" i="4"/>
  <c r="Q22" i="4"/>
  <c r="P22" i="4"/>
  <c r="R22" i="4" s="1"/>
  <c r="O22" i="4"/>
  <c r="N22" i="4"/>
  <c r="Q21" i="4"/>
  <c r="P21" i="4"/>
  <c r="R21" i="4" s="1"/>
  <c r="O21" i="4"/>
  <c r="N21" i="4"/>
  <c r="Q20" i="4"/>
  <c r="O20" i="4"/>
  <c r="P20" i="4" s="1"/>
  <c r="R20" i="4" s="1"/>
  <c r="N20" i="4"/>
  <c r="Q19" i="4"/>
  <c r="P19" i="4"/>
  <c r="R19" i="4" s="1"/>
  <c r="O19" i="4"/>
  <c r="N19" i="4"/>
  <c r="Q18" i="4"/>
  <c r="O18" i="4"/>
  <c r="P18" i="4" s="1"/>
  <c r="R18" i="4" s="1"/>
  <c r="N18" i="4"/>
  <c r="Q17" i="4"/>
  <c r="P17" i="4"/>
  <c r="O17" i="4"/>
  <c r="R17" i="4" s="1"/>
  <c r="N17" i="4"/>
  <c r="Q16" i="4"/>
  <c r="O16" i="4"/>
  <c r="P16" i="4" s="1"/>
  <c r="R16" i="4" s="1"/>
  <c r="N16" i="4"/>
  <c r="R15" i="4"/>
  <c r="Q15" i="4"/>
  <c r="P15" i="4"/>
  <c r="O15" i="4"/>
  <c r="N15" i="4"/>
  <c r="Q14" i="4"/>
  <c r="O14" i="4"/>
  <c r="P14" i="4" s="1"/>
  <c r="R14" i="4" s="1"/>
  <c r="N14" i="4"/>
  <c r="R13" i="4"/>
  <c r="Q13" i="4"/>
  <c r="P13" i="4"/>
  <c r="O13" i="4"/>
  <c r="N13" i="4"/>
  <c r="Q12" i="4"/>
  <c r="P12" i="4"/>
  <c r="R12" i="4" s="1"/>
  <c r="O12" i="4"/>
  <c r="N12" i="4"/>
  <c r="Q11" i="4"/>
  <c r="P11" i="4"/>
  <c r="R11" i="4" s="1"/>
  <c r="O11" i="4"/>
  <c r="N11" i="4"/>
  <c r="Q10" i="4"/>
  <c r="P10" i="4"/>
  <c r="R10" i="4" s="1"/>
  <c r="O10" i="4"/>
  <c r="N10" i="4"/>
  <c r="Q9" i="4"/>
  <c r="P9" i="4"/>
  <c r="R9" i="4" s="1"/>
  <c r="O9" i="4"/>
  <c r="N9" i="4"/>
  <c r="E6" i="1" s="1"/>
  <c r="Q8" i="4"/>
  <c r="O8" i="4"/>
  <c r="P8" i="4" s="1"/>
  <c r="R8" i="4" s="1"/>
  <c r="N8" i="4"/>
  <c r="Q7" i="4"/>
  <c r="P7" i="4"/>
  <c r="R7" i="4" s="1"/>
  <c r="O7" i="4"/>
  <c r="N7" i="4"/>
  <c r="B7" i="6" s="1"/>
  <c r="Q6" i="4"/>
  <c r="O6" i="4"/>
  <c r="P6" i="4" s="1"/>
  <c r="R6" i="4" s="1"/>
  <c r="N6" i="4"/>
  <c r="Q5" i="4"/>
  <c r="P5" i="4"/>
  <c r="O5" i="4"/>
  <c r="R5" i="4" s="1"/>
  <c r="N5" i="4"/>
  <c r="B5" i="6" s="1"/>
  <c r="Q4" i="4"/>
  <c r="P4" i="4"/>
  <c r="R4" i="4" s="1"/>
  <c r="O4" i="4"/>
  <c r="N4" i="4"/>
  <c r="B4" i="6" s="1"/>
  <c r="Q3" i="4"/>
  <c r="O3" i="4"/>
  <c r="P3" i="4" s="1"/>
  <c r="R3" i="4" s="1"/>
  <c r="N3" i="4"/>
  <c r="Q2" i="4"/>
  <c r="O2" i="4"/>
  <c r="P2" i="4" s="1"/>
  <c r="N2" i="4"/>
  <c r="B2" i="6" s="1"/>
  <c r="H9" i="3"/>
  <c r="H8" i="3"/>
  <c r="I7" i="3"/>
  <c r="I7" i="6" s="1"/>
  <c r="H7" i="3"/>
  <c r="I6" i="3"/>
  <c r="I6" i="6" s="1"/>
  <c r="H6" i="3"/>
  <c r="H5" i="3"/>
  <c r="I4" i="3"/>
  <c r="I4" i="6" s="1"/>
  <c r="H4" i="3"/>
  <c r="I3" i="3"/>
  <c r="I3" i="6" s="1"/>
  <c r="H3" i="3"/>
  <c r="I2" i="3"/>
  <c r="I2" i="6" s="1"/>
  <c r="H2" i="3"/>
  <c r="K10" i="1"/>
  <c r="H10" i="1"/>
  <c r="B10" i="1"/>
  <c r="K6" i="1"/>
  <c r="B6" i="1"/>
  <c r="J2" i="3" l="1"/>
  <c r="E4" i="6"/>
  <c r="E2" i="6"/>
  <c r="H6" i="1"/>
  <c r="E3" i="6"/>
  <c r="R2" i="4"/>
  <c r="L2" i="6"/>
  <c r="L4" i="6"/>
  <c r="B3" i="6"/>
  <c r="L7" i="6"/>
  <c r="L5" i="6"/>
  <c r="L8" i="6"/>
  <c r="G57" i="1" l="1"/>
  <c r="B56" i="1"/>
  <c r="D54" i="1"/>
  <c r="F52" i="1"/>
  <c r="H50" i="1"/>
  <c r="C49" i="1"/>
  <c r="H55" i="1"/>
  <c r="C54" i="1"/>
  <c r="E52" i="1"/>
  <c r="G50" i="1"/>
  <c r="B49" i="1"/>
  <c r="F57" i="1"/>
  <c r="E57" i="1"/>
  <c r="G55" i="1"/>
  <c r="B54" i="1"/>
  <c r="D52" i="1"/>
  <c r="F50" i="1"/>
  <c r="E55" i="1"/>
  <c r="D57" i="1"/>
  <c r="F55" i="1"/>
  <c r="H53" i="1"/>
  <c r="C52" i="1"/>
  <c r="E50" i="1"/>
  <c r="G53" i="1"/>
  <c r="G58" i="1"/>
  <c r="F58" i="1"/>
  <c r="H56" i="1"/>
  <c r="C55" i="1"/>
  <c r="E53" i="1"/>
  <c r="G51" i="1"/>
  <c r="B50" i="1"/>
  <c r="E58" i="1"/>
  <c r="G56" i="1"/>
  <c r="B55" i="1"/>
  <c r="D53" i="1"/>
  <c r="F51" i="1"/>
  <c r="H49" i="1"/>
  <c r="H57" i="1"/>
  <c r="C56" i="1"/>
  <c r="E54" i="1"/>
  <c r="G52" i="1"/>
  <c r="B51" i="1"/>
  <c r="D49" i="1"/>
  <c r="D58" i="1"/>
  <c r="F56" i="1"/>
  <c r="H54" i="1"/>
  <c r="C53" i="1"/>
  <c r="E51" i="1"/>
  <c r="G49" i="1"/>
  <c r="C57" i="1"/>
  <c r="D50" i="1"/>
  <c r="D55" i="1"/>
  <c r="C50" i="1"/>
  <c r="C58" i="1"/>
  <c r="E56" i="1"/>
  <c r="G54" i="1"/>
  <c r="B53" i="1"/>
  <c r="D51" i="1"/>
  <c r="F49" i="1"/>
  <c r="H58" i="1"/>
  <c r="B52" i="1"/>
  <c r="B57" i="1"/>
  <c r="H51" i="1"/>
  <c r="B58" i="1"/>
  <c r="D56" i="1"/>
  <c r="F54" i="1"/>
  <c r="H52" i="1"/>
  <c r="C51" i="1"/>
  <c r="E49" i="1"/>
  <c r="F53" i="1"/>
  <c r="H2" i="6"/>
  <c r="E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1" authorId="0" shapeId="0" xr:uid="{00000000-0006-0000-0200-000001000000}">
      <text>
        <r>
          <rPr>
            <sz val="10"/>
            <rFont val="Arial"/>
            <family val="2"/>
          </rPr>
          <t>Sum of Qty Received x Unit Cost across this supplier's purchase orders.</t>
        </r>
      </text>
    </comment>
    <comment ref="J1" authorId="0" shapeId="0" xr:uid="{00000000-0006-0000-0200-000002000000}">
      <text>
        <r>
          <rPr>
            <sz val="10"/>
            <rFont val="Arial"/>
            <family val="2"/>
          </rPr>
          <t>Share of this supplier's delivered POs that arrived on or before the expected date.</t>
        </r>
      </text>
    </comment>
  </commentList>
</comments>
</file>

<file path=xl/sharedStrings.xml><?xml version="1.0" encoding="utf-8"?>
<sst xmlns="http://schemas.openxmlformats.org/spreadsheetml/2006/main" count="726" uniqueCount="296">
  <si>
    <t>Inventory &amp; Supply Chain Optimization Dashboard</t>
  </si>
  <si>
    <t>Sample data — see 'Read Me' tab. All KPI tiles and charts below are live formulas.</t>
  </si>
  <si>
    <t>Total SKUs</t>
  </si>
  <si>
    <t>Total Inventory Value</t>
  </si>
  <si>
    <t>Items to Reorder Now</t>
  </si>
  <si>
    <t>Avg. Days of Supply</t>
  </si>
  <si>
    <t>Active Suppliers</t>
  </si>
  <si>
    <t>Avg. Supplier On-Time %</t>
  </si>
  <si>
    <t>Total PO Spend</t>
  </si>
  <si>
    <t>Pending Purchase Orders</t>
  </si>
  <si>
    <t>Top Items Needing Reorder (lowest days of supply)</t>
  </si>
  <si>
    <t>SKU</t>
  </si>
  <si>
    <t>Product Name</t>
  </si>
  <si>
    <t>Warehouse</t>
  </si>
  <si>
    <t>Current Stock</t>
  </si>
  <si>
    <t>Reorder Point</t>
  </si>
  <si>
    <t>Days of Supply</t>
  </si>
  <si>
    <t>Supplier</t>
  </si>
  <si>
    <t>Sample workbook — generated with realistic illustrative data for demonstration purposes.</t>
  </si>
  <si>
    <t>Purpose</t>
  </si>
  <si>
    <t>Tracks inventory health, reorder needs, and supplier / purchase-order performance across 4 warehouses.</t>
  </si>
  <si>
    <t>Data source</t>
  </si>
  <si>
    <t>All figures on the Inventory, Suppliers, and Purchase Orders tabs are SAMPLE DATA generated for this workbook (seeded random generator) — not real company data. Replace with your own data to make this live.</t>
  </si>
  <si>
    <t>How to use</t>
  </si>
  <si>
    <t>Edit the yellow-highlighted input cells on the Inventory, Suppliers, and Purchase Orders tabs. Every KPI and chart on the Dashboard tab recalculates automatically via formulas.</t>
  </si>
  <si>
    <t>Import into Power BI</t>
  </si>
  <si>
    <t>Open Power BI Desktop -&gt; Get Data -&gt; Excel Workbook -&gt; select this file -&gt; load the Inventory, Suppliers, and Purchase Orders tables -&gt; build relationships on SKU and Supplier ID -&gt; recreate the visuals from the Dashboard tab (or use them as a starting reference).</t>
  </si>
  <si>
    <t>Key formulas</t>
  </si>
  <si>
    <t>Stock Status = IF current stock &lt;= reorder point -&gt; 'Reorder Now'; Days of Supply = current stock / average daily usage; On-Time Flag (POs) = actual delivery &lt;= expected delivery.</t>
  </si>
  <si>
    <t>Refresh</t>
  </si>
  <si>
    <t>Recalculates automatically in Excel. If values show as 0 after editing in some non-Excel viewers, open in Excel/LibreOffice once to force a recalculation.</t>
  </si>
  <si>
    <t>Cell color legend</t>
  </si>
  <si>
    <t>Editable input</t>
  </si>
  <si>
    <t>Formula (do not overwrite)</t>
  </si>
  <si>
    <t>Supplier ID</t>
  </si>
  <si>
    <t>Supplier Name</t>
  </si>
  <si>
    <t>Location</t>
  </si>
  <si>
    <t>Avg Lead Time (days)</t>
  </si>
  <si>
    <t>On-Time Delivery %</t>
  </si>
  <si>
    <t>Quality Rating (1-5)</t>
  </si>
  <si>
    <t>Active Since</t>
  </si>
  <si>
    <t>Total POs</t>
  </si>
  <si>
    <t>Total Spend ($)</t>
  </si>
  <si>
    <t>Actual On-Time % (from POs)</t>
  </si>
  <si>
    <t>SUP-001</t>
  </si>
  <si>
    <t>Apex Components Ltd.</t>
  </si>
  <si>
    <t>Chennai, IN</t>
  </si>
  <si>
    <t>SUP-002</t>
  </si>
  <si>
    <t>Northline Materials Co.</t>
  </si>
  <si>
    <t>Pune, IN</t>
  </si>
  <si>
    <t>SUP-003</t>
  </si>
  <si>
    <t>Global Pack Solutions</t>
  </si>
  <si>
    <t>Ahmedabad, IN</t>
  </si>
  <si>
    <t>SUP-004</t>
  </si>
  <si>
    <t>Sterling Hardware Inc.</t>
  </si>
  <si>
    <t>Delhi, IN</t>
  </si>
  <si>
    <t>SUP-005</t>
  </si>
  <si>
    <t>Vertex Industrial Supply</t>
  </si>
  <si>
    <t>Bengaluru, IN</t>
  </si>
  <si>
    <t>SUP-006</t>
  </si>
  <si>
    <t>Meridian Parts Group</t>
  </si>
  <si>
    <t>Hyderabad, IN</t>
  </si>
  <si>
    <t>SUP-007</t>
  </si>
  <si>
    <t>Prime Consumables Corp.</t>
  </si>
  <si>
    <t>Mumbai, IN</t>
  </si>
  <si>
    <t>SUP-008</t>
  </si>
  <si>
    <t>Horizon Machinery Traders</t>
  </si>
  <si>
    <t>Coimbatore, IN</t>
  </si>
  <si>
    <t>Category</t>
  </si>
  <si>
    <t>Unit Cost ($)</t>
  </si>
  <si>
    <t>Unit Price ($)</t>
  </si>
  <si>
    <t>Reorder Qty</t>
  </si>
  <si>
    <t>Lead Time (days)</t>
  </si>
  <si>
    <t>Avg Daily Usage</t>
  </si>
  <si>
    <t>Last Restock Date</t>
  </si>
  <si>
    <t>Inventory Value ($)</t>
  </si>
  <si>
    <t>Stock Status</t>
  </si>
  <si>
    <t>Reorder Sort Key</t>
  </si>
  <si>
    <t>SKU-1001</t>
  </si>
  <si>
    <t>Cable Harness A</t>
  </si>
  <si>
    <t>Electronics</t>
  </si>
  <si>
    <t>WH-North</t>
  </si>
  <si>
    <t>SKU-1002</t>
  </si>
  <si>
    <t>Steel Sheet B</t>
  </si>
  <si>
    <t>Raw Materials</t>
  </si>
  <si>
    <t>WH-South</t>
  </si>
  <si>
    <t>SKU-1003</t>
  </si>
  <si>
    <t>Corrugated Box B</t>
  </si>
  <si>
    <t>Packaging</t>
  </si>
  <si>
    <t>WH-Central</t>
  </si>
  <si>
    <t>SKU-1004</t>
  </si>
  <si>
    <t>Ball Bearing A</t>
  </si>
  <si>
    <t>Hardware</t>
  </si>
  <si>
    <t>SKU-1005</t>
  </si>
  <si>
    <t>Sandpaper Sheet B</t>
  </si>
  <si>
    <t>Consumables</t>
  </si>
  <si>
    <t>WH-East</t>
  </si>
  <si>
    <t>SKU-1006</t>
  </si>
  <si>
    <t>Conveyor Roller C</t>
  </si>
  <si>
    <t>Machinery Parts</t>
  </si>
  <si>
    <t>SKU-1007</t>
  </si>
  <si>
    <t>Cable Harness C</t>
  </si>
  <si>
    <t>SKU-1008</t>
  </si>
  <si>
    <t>Copper Wire Coil B</t>
  </si>
  <si>
    <t>SKU-1009</t>
  </si>
  <si>
    <t>Carton Tape Pro</t>
  </si>
  <si>
    <t>SKU-1010</t>
  </si>
  <si>
    <t>Hinge Assembly B</t>
  </si>
  <si>
    <t>SKU-1011</t>
  </si>
  <si>
    <t>Adhesive Tube C</t>
  </si>
  <si>
    <t>SKU-1012</t>
  </si>
  <si>
    <t>SKU-1013</t>
  </si>
  <si>
    <t>Power Supply Unit B</t>
  </si>
  <si>
    <t>SKU-1014</t>
  </si>
  <si>
    <t>Aluminum Rod B</t>
  </si>
  <si>
    <t>SKU-1015</t>
  </si>
  <si>
    <t>Foam Insert X</t>
  </si>
  <si>
    <t>SKU-1016</t>
  </si>
  <si>
    <t>Hex Bolt Set A</t>
  </si>
  <si>
    <t>SKU-1017</t>
  </si>
  <si>
    <t>Filter Cartridge B</t>
  </si>
  <si>
    <t>SKU-1018</t>
  </si>
  <si>
    <t>Drive Belt B</t>
  </si>
  <si>
    <t>SKU-1019</t>
  </si>
  <si>
    <t>Microcontroller A</t>
  </si>
  <si>
    <t>SKU-1020</t>
  </si>
  <si>
    <t>Plastic Resin A</t>
  </si>
  <si>
    <t>SKU-1021</t>
  </si>
  <si>
    <t>Corrugated Box Pro</t>
  </si>
  <si>
    <t>SKU-1022</t>
  </si>
  <si>
    <t>Steel Bracket A</t>
  </si>
  <si>
    <t>SKU-1023</t>
  </si>
  <si>
    <t>Adhesive Tube Pro</t>
  </si>
  <si>
    <t>SKU-1024</t>
  </si>
  <si>
    <t>Hydraulic Valve A</t>
  </si>
  <si>
    <t>SKU-1025</t>
  </si>
  <si>
    <t>Sensor Module C</t>
  </si>
  <si>
    <t>SKU-1026</t>
  </si>
  <si>
    <t>Glass Panel A</t>
  </si>
  <si>
    <t>SKU-1027</t>
  </si>
  <si>
    <t>Carton Tape C</t>
  </si>
  <si>
    <t>SKU-1028</t>
  </si>
  <si>
    <t>Steel Bracket Standard</t>
  </si>
  <si>
    <t>SKU-1029</t>
  </si>
  <si>
    <t>Lubricant Can C</t>
  </si>
  <si>
    <t>SKU-1030</t>
  </si>
  <si>
    <t>Pump Seal X</t>
  </si>
  <si>
    <t>SKU-1031</t>
  </si>
  <si>
    <t>LED Panel Standard</t>
  </si>
  <si>
    <t>SKU-1032</t>
  </si>
  <si>
    <t>SKU-1033</t>
  </si>
  <si>
    <t>Foam Insert C</t>
  </si>
  <si>
    <t>SKU-1034</t>
  </si>
  <si>
    <t>Ball Bearing X</t>
  </si>
  <si>
    <t>SKU-1035</t>
  </si>
  <si>
    <t>Sandpaper Sheet Standard</t>
  </si>
  <si>
    <t>SKU-1036</t>
  </si>
  <si>
    <t>Hydraulic Valve Standard</t>
  </si>
  <si>
    <t>SKU-1037</t>
  </si>
  <si>
    <t>Microcontroller C</t>
  </si>
  <si>
    <t>SKU-1038</t>
  </si>
  <si>
    <t>Aluminum Rod Pro</t>
  </si>
  <si>
    <t>SKU-1039</t>
  </si>
  <si>
    <t>Shrink Film B</t>
  </si>
  <si>
    <t>SKU-1040</t>
  </si>
  <si>
    <t>Hinge Assembly Standard</t>
  </si>
  <si>
    <t>SKU-1041</t>
  </si>
  <si>
    <t>Lubricant Can Pro</t>
  </si>
  <si>
    <t>SKU-1042</t>
  </si>
  <si>
    <t>Conveyor Roller Pro</t>
  </si>
  <si>
    <t>SKU-1043</t>
  </si>
  <si>
    <t>Microcontroller X</t>
  </si>
  <si>
    <t>SKU-1044</t>
  </si>
  <si>
    <t>SKU-1045</t>
  </si>
  <si>
    <t>Pallet Wrap X</t>
  </si>
  <si>
    <t>SKU-1046</t>
  </si>
  <si>
    <t>SKU-1047</t>
  </si>
  <si>
    <t>SKU-1048</t>
  </si>
  <si>
    <t>Hydraulic Valve X</t>
  </si>
  <si>
    <t>Order ID</t>
  </si>
  <si>
    <t>Order Date</t>
  </si>
  <si>
    <t>Expected Delivery</t>
  </si>
  <si>
    <t>Actual Delivery</t>
  </si>
  <si>
    <t>Qty Ordered</t>
  </si>
  <si>
    <t>Qty Received</t>
  </si>
  <si>
    <t>Status</t>
  </si>
  <si>
    <t>Order Value ($)</t>
  </si>
  <si>
    <t>Delay (days)</t>
  </si>
  <si>
    <t>On-Time Flag</t>
  </si>
  <si>
    <t>Fulfillment Rate</t>
  </si>
  <si>
    <t>PO-2000</t>
  </si>
  <si>
    <t>Pending</t>
  </si>
  <si>
    <t>PO-2001</t>
  </si>
  <si>
    <t>Delivered</t>
  </si>
  <si>
    <t>PO-2002</t>
  </si>
  <si>
    <t>PO-2003</t>
  </si>
  <si>
    <t>PO-2004</t>
  </si>
  <si>
    <t>PO-2005</t>
  </si>
  <si>
    <t>PO-2006</t>
  </si>
  <si>
    <t>PO-2007</t>
  </si>
  <si>
    <t>PO-2008</t>
  </si>
  <si>
    <t>PO-2009</t>
  </si>
  <si>
    <t>PO-2010</t>
  </si>
  <si>
    <t>PO-2011</t>
  </si>
  <si>
    <t>PO-2012</t>
  </si>
  <si>
    <t>PO-2013</t>
  </si>
  <si>
    <t>PO-2014</t>
  </si>
  <si>
    <t>PO-2015</t>
  </si>
  <si>
    <t>PO-2016</t>
  </si>
  <si>
    <t>PO-2017</t>
  </si>
  <si>
    <t>PO-2018</t>
  </si>
  <si>
    <t>PO-2019</t>
  </si>
  <si>
    <t>PO-2020</t>
  </si>
  <si>
    <t>PO-2021</t>
  </si>
  <si>
    <t>PO-2022</t>
  </si>
  <si>
    <t>PO-2023</t>
  </si>
  <si>
    <t>PO-2024</t>
  </si>
  <si>
    <t>PO-2025</t>
  </si>
  <si>
    <t>PO-2026</t>
  </si>
  <si>
    <t>PO-2027</t>
  </si>
  <si>
    <t>PO-2028</t>
  </si>
  <si>
    <t>PO-2029</t>
  </si>
  <si>
    <t>PO-2030</t>
  </si>
  <si>
    <t>PO-2031</t>
  </si>
  <si>
    <t>PO-2032</t>
  </si>
  <si>
    <t>PO-2033</t>
  </si>
  <si>
    <t>PO-2034</t>
  </si>
  <si>
    <t>PO-2035</t>
  </si>
  <si>
    <t>PO-2036</t>
  </si>
  <si>
    <t>PO-2037</t>
  </si>
  <si>
    <t>PO-2038</t>
  </si>
  <si>
    <t>PO-2039</t>
  </si>
  <si>
    <t>PO-2040</t>
  </si>
  <si>
    <t>PO-2041</t>
  </si>
  <si>
    <t>PO-2042</t>
  </si>
  <si>
    <t>PO-2043</t>
  </si>
  <si>
    <t>PO-2044</t>
  </si>
  <si>
    <t>PO-2045</t>
  </si>
  <si>
    <t>PO-2046</t>
  </si>
  <si>
    <t>PO-2047</t>
  </si>
  <si>
    <t>PO-2048</t>
  </si>
  <si>
    <t>PO-2049</t>
  </si>
  <si>
    <t>PO-2050</t>
  </si>
  <si>
    <t>PO-2051</t>
  </si>
  <si>
    <t>PO-2052</t>
  </si>
  <si>
    <t>PO-2053</t>
  </si>
  <si>
    <t>PO-2054</t>
  </si>
  <si>
    <t>PO-2055</t>
  </si>
  <si>
    <t>PO-2056</t>
  </si>
  <si>
    <t>PO-2057</t>
  </si>
  <si>
    <t>PO-2058</t>
  </si>
  <si>
    <t>PO-2059</t>
  </si>
  <si>
    <t>PO-2060</t>
  </si>
  <si>
    <t>PO-2061</t>
  </si>
  <si>
    <t>PO-2062</t>
  </si>
  <si>
    <t>PO-2063</t>
  </si>
  <si>
    <t>PO-2064</t>
  </si>
  <si>
    <t>PO-2065</t>
  </si>
  <si>
    <t>PO-2066</t>
  </si>
  <si>
    <t>PO-2067</t>
  </si>
  <si>
    <t>PO-2068</t>
  </si>
  <si>
    <t>PO-2069</t>
  </si>
  <si>
    <t>PO-2070</t>
  </si>
  <si>
    <t>PO-2071</t>
  </si>
  <si>
    <t>PO-2072</t>
  </si>
  <si>
    <t>PO-2073</t>
  </si>
  <si>
    <t>PO-2074</t>
  </si>
  <si>
    <t>PO-2075</t>
  </si>
  <si>
    <t>PO-2076</t>
  </si>
  <si>
    <t>PO-2077</t>
  </si>
  <si>
    <t>PO-2078</t>
  </si>
  <si>
    <t>PO-2079</t>
  </si>
  <si>
    <t>PO-2080</t>
  </si>
  <si>
    <t>PO-2081</t>
  </si>
  <si>
    <t>PO-2082</t>
  </si>
  <si>
    <t>PO-2083</t>
  </si>
  <si>
    <t>PO-2084</t>
  </si>
  <si>
    <t>PO-2085</t>
  </si>
  <si>
    <t>PO-2086</t>
  </si>
  <si>
    <t>PO-2087</t>
  </si>
  <si>
    <t>PO-2088</t>
  </si>
  <si>
    <t>PO-2089</t>
  </si>
  <si>
    <t>SKU Count</t>
  </si>
  <si>
    <t>On-Time % (POs)</t>
  </si>
  <si>
    <t>Month</t>
  </si>
  <si>
    <t>PO Spend ($)</t>
  </si>
  <si>
    <t>Reorder Now</t>
  </si>
  <si>
    <t>2026-03</t>
  </si>
  <si>
    <t>Low - Watch</t>
  </si>
  <si>
    <t>2026-04</t>
  </si>
  <si>
    <t>OK</t>
  </si>
  <si>
    <t>2026-05</t>
  </si>
  <si>
    <t>2026-06</t>
  </si>
  <si>
    <t>2026-07</t>
  </si>
  <si>
    <t>2026-08</t>
  </si>
  <si>
    <t>2026-09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</si>
</sst>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"/>
    <numFmt numFmtId="166" formatCode="0.0%"/>
    <numFmt numFmtId="167" formatCode="yyyy\-mm\-dd"/>
    <numFmt numFmtId="168" formatCode="\$#,##0.00"/>
  </numFmts>
  <fonts count="9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808080"/>
      <name val="Arial"/>
      <charset val="1"/>
    </font>
    <font>
      <b/>
      <sz val="10"/>
      <color rgb="FFFFFFFF"/>
      <name val="Arial"/>
      <charset val="1"/>
    </font>
    <font>
      <b/>
      <sz val="20"/>
      <color rgb="FFFFFFFF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1E7145"/>
        <bgColor rgb="FF008080"/>
      </patternFill>
    </fill>
    <fill>
      <patternFill patternType="solid">
        <fgColor rgb="FFC0392B"/>
        <bgColor rgb="FFC0504D"/>
      </patternFill>
    </fill>
    <fill>
      <patternFill patternType="solid">
        <fgColor rgb="FFB9770E"/>
        <bgColor rgb="FFC0504D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9F9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1" fontId="4" fillId="5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/>
    </xf>
    <xf numFmtId="166" fontId="4" fillId="3" borderId="0" xfId="0" applyNumberFormat="1" applyFont="1" applyFill="1" applyBorder="1" applyAlignment="1">
      <alignment horizontal="center" vertical="center"/>
    </xf>
    <xf numFmtId="165" fontId="4" fillId="5" borderId="0" xfId="0" applyNumberFormat="1" applyFont="1" applyFill="1" applyBorder="1" applyAlignment="1">
      <alignment horizontal="center" vertical="center"/>
    </xf>
    <xf numFmtId="1" fontId="4" fillId="4" borderId="0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1" fillId="0" borderId="0" xfId="0" applyFont="1" applyBorder="1"/>
    <xf numFmtId="0" fontId="5" fillId="0" borderId="0" xfId="0" applyFont="1"/>
    <xf numFmtId="0" fontId="6" fillId="6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7" borderId="0" xfId="0" applyFont="1" applyFill="1"/>
    <xf numFmtId="0" fontId="7" fillId="0" borderId="0" xfId="0" applyFont="1"/>
    <xf numFmtId="0" fontId="7" fillId="7" borderId="1" xfId="0" applyFont="1" applyFill="1" applyBorder="1"/>
    <xf numFmtId="166" fontId="7" fillId="7" borderId="1" xfId="0" applyNumberFormat="1" applyFont="1" applyFill="1" applyBorder="1"/>
    <xf numFmtId="167" fontId="7" fillId="7" borderId="1" xfId="0" applyNumberFormat="1" applyFont="1" applyFill="1" applyBorder="1"/>
    <xf numFmtId="164" fontId="7" fillId="0" borderId="1" xfId="0" applyNumberFormat="1" applyFont="1" applyBorder="1"/>
    <xf numFmtId="166" fontId="7" fillId="0" borderId="1" xfId="0" applyNumberFormat="1" applyFont="1" applyBorder="1"/>
    <xf numFmtId="168" fontId="7" fillId="7" borderId="1" xfId="0" applyNumberFormat="1" applyFont="1" applyFill="1" applyBorder="1"/>
    <xf numFmtId="9" fontId="7" fillId="0" borderId="1" xfId="0" applyNumberFormat="1" applyFont="1" applyBorder="1"/>
    <xf numFmtId="164" fontId="7" fillId="0" borderId="0" xfId="0" applyNumberFormat="1" applyFont="1"/>
    <xf numFmtId="166" fontId="7" fillId="0" borderId="0" xfId="0" applyNumberFormat="1" applyFont="1"/>
  </cellXfs>
  <cellStyles count="1">
    <cellStyle name="Normal" xfId="0" builtinId="0"/>
  </cellStyles>
  <dxfs count="3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1E7145"/>
      <rgbColor rgb="FFBFBFBF"/>
      <rgbColor rgb="FF808080"/>
      <rgbColor rgb="FF9999FF"/>
      <rgbColor rgb="FFC0504D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4F81BD"/>
      <rgbColor rgb="FF33CCCC"/>
      <rgbColor rgb="FF9BBB59"/>
      <rgbColor rgb="FFFFCC00"/>
      <rgbColor rgb="FFFF9900"/>
      <rgbColor rgb="FFFF6600"/>
      <rgbColor rgb="FF4A7EBB"/>
      <rgbColor rgb="FF878787"/>
      <rgbColor rgb="FF1F3864"/>
      <rgbColor rgb="FF339966"/>
      <rgbColor rgb="FF003300"/>
      <rgbColor rgb="FF333300"/>
      <rgbColor rgb="FFC0392B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Inventory Value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Inventory Value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ChartData!$A$2:$A$7</c:f>
              <c:strCache>
                <c:ptCount val="6"/>
                <c:pt idx="0">
                  <c:v>Electronics</c:v>
                </c:pt>
                <c:pt idx="1">
                  <c:v>Raw Materials</c:v>
                </c:pt>
                <c:pt idx="2">
                  <c:v>Packaging</c:v>
                </c:pt>
                <c:pt idx="3">
                  <c:v>Hardware</c:v>
                </c:pt>
                <c:pt idx="4">
                  <c:v>Consumables</c:v>
                </c:pt>
                <c:pt idx="5">
                  <c:v>Machinery Parts</c:v>
                </c:pt>
              </c:strCache>
            </c:strRef>
          </c:cat>
          <c:val>
            <c:numRef>
              <c:f>ChartData!$B$2:$B$7</c:f>
              <c:numCache>
                <c:formatCode>\$#,##0</c:formatCode>
                <c:ptCount val="6"/>
                <c:pt idx="0">
                  <c:v>253920.68999999997</c:v>
                </c:pt>
                <c:pt idx="1">
                  <c:v>387936.83</c:v>
                </c:pt>
                <c:pt idx="2">
                  <c:v>293669.64</c:v>
                </c:pt>
                <c:pt idx="3">
                  <c:v>288754.67</c:v>
                </c:pt>
                <c:pt idx="4">
                  <c:v>318556.23999999993</c:v>
                </c:pt>
                <c:pt idx="5">
                  <c:v>268086.67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8-4D6C-AE25-5BECFFFA0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01949"/>
        <c:axId val="57597700"/>
      </c:barChart>
      <c:catAx>
        <c:axId val="235019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597700"/>
        <c:crosses val="autoZero"/>
        <c:auto val="1"/>
        <c:lblAlgn val="ctr"/>
        <c:lblOffset val="100"/>
        <c:noMultiLvlLbl val="0"/>
      </c:catAx>
      <c:valAx>
        <c:axId val="575977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5019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SKUs by Stock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ChartData!$E$1</c:f>
              <c:strCache>
                <c:ptCount val="1"/>
                <c:pt idx="0">
                  <c:v>SKU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99C-4F95-B4A6-2C6753FA17D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99C-4F95-B4A6-2C6753FA17D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99C-4F95-B4A6-2C6753FA17D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599C-4F95-B4A6-2C6753FA17D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599C-4F95-B4A6-2C6753FA17D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599C-4F95-B4A6-2C6753FA17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ChartData!$D$2:$D$4</c:f>
              <c:strCache>
                <c:ptCount val="3"/>
                <c:pt idx="0">
                  <c:v>Reorder Now</c:v>
                </c:pt>
                <c:pt idx="1">
                  <c:v>Low - Watch</c:v>
                </c:pt>
                <c:pt idx="2">
                  <c:v>OK</c:v>
                </c:pt>
              </c:strCache>
            </c:strRef>
          </c:cat>
          <c:val>
            <c:numRef>
              <c:f>ChartData!$E$2:$E$4</c:f>
              <c:numCache>
                <c:formatCode>General</c:formatCode>
                <c:ptCount val="3"/>
                <c:pt idx="0">
                  <c:v>12</c:v>
                </c:pt>
                <c:pt idx="1">
                  <c:v>10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9C-4F95-B4A6-2C6753FA1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Supplier On-Time Delivery %  (from Purchase Orders)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ChartData!$H$1</c:f>
              <c:strCache>
                <c:ptCount val="1"/>
                <c:pt idx="0">
                  <c:v>On-Time % (POs)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ChartData!$G$2:$G$9</c:f>
              <c:strCache>
                <c:ptCount val="8"/>
                <c:pt idx="0">
                  <c:v>Apex Components Ltd.</c:v>
                </c:pt>
                <c:pt idx="1">
                  <c:v>Northline Materials Co.</c:v>
                </c:pt>
                <c:pt idx="2">
                  <c:v>Global Pack Solutions</c:v>
                </c:pt>
                <c:pt idx="3">
                  <c:v>Sterling Hardware Inc.</c:v>
                </c:pt>
                <c:pt idx="4">
                  <c:v>Vertex Industrial Supply</c:v>
                </c:pt>
                <c:pt idx="5">
                  <c:v>Meridian Parts Group</c:v>
                </c:pt>
                <c:pt idx="6">
                  <c:v>Prime Consumables Corp.</c:v>
                </c:pt>
                <c:pt idx="7">
                  <c:v>Horizon Machinery Traders</c:v>
                </c:pt>
              </c:strCache>
            </c:strRef>
          </c:cat>
          <c:val>
            <c:numRef>
              <c:f>ChartData!$H$2:$H$9</c:f>
              <c:numCache>
                <c:formatCode>0.0%</c:formatCode>
                <c:ptCount val="8"/>
                <c:pt idx="0">
                  <c:v>0.8</c:v>
                </c:pt>
                <c:pt idx="1">
                  <c:v>0.66666666666666663</c:v>
                </c:pt>
                <c:pt idx="2">
                  <c:v>0.88888888888888884</c:v>
                </c:pt>
                <c:pt idx="3">
                  <c:v>0.53333333333333333</c:v>
                </c:pt>
                <c:pt idx="4">
                  <c:v>0.75</c:v>
                </c:pt>
                <c:pt idx="5">
                  <c:v>0.55000000000000004</c:v>
                </c:pt>
                <c:pt idx="6">
                  <c:v>0.4</c:v>
                </c:pt>
                <c:pt idx="7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1-4B4C-A673-1E3F4AAC4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557049"/>
        <c:axId val="7775602"/>
      </c:barChart>
      <c:catAx>
        <c:axId val="6955704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Supplier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75602"/>
        <c:crosses val="autoZero"/>
        <c:auto val="1"/>
        <c:lblAlgn val="ctr"/>
        <c:lblOffset val="100"/>
        <c:noMultiLvlLbl val="0"/>
      </c:catAx>
      <c:valAx>
        <c:axId val="777560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On-Time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5570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Purchase Order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ChartData!$L$1</c:f>
              <c:strCache>
                <c:ptCount val="1"/>
                <c:pt idx="0">
                  <c:v>PO Spend ($)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ChartData!$K$2:$K$8</c:f>
              <c:strCache>
                <c:ptCount val="7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</c:strCache>
            </c:strRef>
          </c:cat>
          <c:val>
            <c:numRef>
              <c:f>ChartData!$L$2:$L$8</c:f>
              <c:numCache>
                <c:formatCode>\$#,##0</c:formatCode>
                <c:ptCount val="7"/>
                <c:pt idx="0">
                  <c:v>408149.42000000004</c:v>
                </c:pt>
                <c:pt idx="1">
                  <c:v>580153.92000000004</c:v>
                </c:pt>
                <c:pt idx="2">
                  <c:v>1333267.0699999998</c:v>
                </c:pt>
                <c:pt idx="3">
                  <c:v>742766.68</c:v>
                </c:pt>
                <c:pt idx="4">
                  <c:v>843098.57</c:v>
                </c:pt>
                <c:pt idx="5">
                  <c:v>775473.03</c:v>
                </c:pt>
                <c:pt idx="6">
                  <c:v>93747.099999999991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A6-471E-9DF4-BB2458CB3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9881940"/>
        <c:axId val="59602260"/>
      </c:lineChart>
      <c:catAx>
        <c:axId val="498819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602260"/>
        <c:crosses val="autoZero"/>
        <c:auto val="1"/>
        <c:lblAlgn val="ctr"/>
        <c:lblOffset val="100"/>
        <c:noMultiLvlLbl val="0"/>
      </c:catAx>
      <c:valAx>
        <c:axId val="596022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Spend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8819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131040</xdr:rowOff>
    </xdr:from>
    <xdr:to>
      <xdr:col>6</xdr:col>
      <xdr:colOff>359280</xdr:colOff>
      <xdr:row>26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131040</xdr:rowOff>
    </xdr:from>
    <xdr:to>
      <xdr:col>13</xdr:col>
      <xdr:colOff>534240</xdr:colOff>
      <xdr:row>26</xdr:row>
      <xdr:rowOff>153000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131040</xdr:rowOff>
    </xdr:from>
    <xdr:to>
      <xdr:col>6</xdr:col>
      <xdr:colOff>359280</xdr:colOff>
      <xdr:row>43</xdr:row>
      <xdr:rowOff>153000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28</xdr:row>
      <xdr:rowOff>131040</xdr:rowOff>
    </xdr:from>
    <xdr:to>
      <xdr:col>13</xdr:col>
      <xdr:colOff>534240</xdr:colOff>
      <xdr:row>43</xdr:row>
      <xdr:rowOff>153000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58"/>
  <sheetViews>
    <sheetView showGridLines="0" tabSelected="1" zoomScaleNormal="100" workbookViewId="0"/>
  </sheetViews>
  <sheetFormatPr defaultColWidth="8.6640625" defaultRowHeight="14.4" x14ac:dyDescent="0.3"/>
  <cols>
    <col min="2" max="2" width="13" customWidth="1"/>
    <col min="3" max="3" width="24" customWidth="1"/>
    <col min="4" max="13" width="11.44140625" customWidth="1"/>
  </cols>
  <sheetData>
    <row r="2" spans="2:13" ht="21" x14ac:dyDescent="0.4"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2:13" x14ac:dyDescent="0.3">
      <c r="B3" s="12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5" spans="2:13" ht="18" customHeight="1" x14ac:dyDescent="0.3">
      <c r="B5" s="11" t="s">
        <v>2</v>
      </c>
      <c r="C5" s="11"/>
      <c r="E5" s="10" t="s">
        <v>3</v>
      </c>
      <c r="F5" s="10"/>
      <c r="H5" s="9" t="s">
        <v>4</v>
      </c>
      <c r="I5" s="9"/>
      <c r="K5" s="8" t="s">
        <v>5</v>
      </c>
      <c r="L5" s="8"/>
    </row>
    <row r="6" spans="2:13" x14ac:dyDescent="0.3">
      <c r="B6" s="7">
        <f>COUNTA(Inventory!$A$2:$A$49)</f>
        <v>48</v>
      </c>
      <c r="C6" s="7"/>
      <c r="E6" s="6">
        <f>SUM(Inventory!$N$2:$N$49)</f>
        <v>1810924.7400000005</v>
      </c>
      <c r="F6" s="6"/>
      <c r="H6" s="5">
        <f>COUNTIF(Inventory!$P$2:$P$49,"Reorder Now")</f>
        <v>12</v>
      </c>
      <c r="I6" s="5"/>
      <c r="K6" s="4">
        <f>AVERAGE(Inventory!$O$2:$O$49)</f>
        <v>42.408560392370433</v>
      </c>
      <c r="L6" s="4"/>
    </row>
    <row r="7" spans="2:13" x14ac:dyDescent="0.3">
      <c r="B7" s="7"/>
      <c r="C7" s="7"/>
      <c r="E7" s="6"/>
      <c r="F7" s="6"/>
      <c r="H7" s="5"/>
      <c r="I7" s="5"/>
      <c r="K7" s="4"/>
      <c r="L7" s="4"/>
    </row>
    <row r="9" spans="2:13" ht="18" customHeight="1" x14ac:dyDescent="0.3">
      <c r="B9" s="11" t="s">
        <v>6</v>
      </c>
      <c r="C9" s="11"/>
      <c r="E9" s="10" t="s">
        <v>7</v>
      </c>
      <c r="F9" s="10"/>
      <c r="H9" s="11" t="s">
        <v>8</v>
      </c>
      <c r="I9" s="11"/>
      <c r="K9" s="8" t="s">
        <v>9</v>
      </c>
      <c r="L9" s="8"/>
    </row>
    <row r="10" spans="2:13" x14ac:dyDescent="0.3">
      <c r="B10" s="7">
        <f>COUNTA(Suppliers!$A$2:$A$9)</f>
        <v>8</v>
      </c>
      <c r="C10" s="7"/>
      <c r="E10" s="3">
        <f>AVERAGE(Suppliers!$J$2:$J$9)</f>
        <v>0.65694444444444455</v>
      </c>
      <c r="F10" s="3"/>
      <c r="H10" s="2">
        <f>SUM('Purchase Orders'!$K$2:$K$91)</f>
        <v>4776655.7899999991</v>
      </c>
      <c r="I10" s="2"/>
      <c r="K10" s="1">
        <f>COUNTIF('Purchase Orders'!$I$2:$I$91,"Pending")</f>
        <v>10</v>
      </c>
      <c r="L10" s="1"/>
    </row>
    <row r="11" spans="2:13" x14ac:dyDescent="0.3">
      <c r="B11" s="7"/>
      <c r="C11" s="7"/>
      <c r="E11" s="3"/>
      <c r="F11" s="3"/>
      <c r="H11" s="2"/>
      <c r="I11" s="2"/>
      <c r="K11" s="1"/>
      <c r="L11" s="1"/>
    </row>
    <row r="47" spans="2:8" ht="18" customHeight="1" x14ac:dyDescent="0.3">
      <c r="B47" s="14" t="s">
        <v>10</v>
      </c>
    </row>
    <row r="48" spans="2:8" ht="27.6" x14ac:dyDescent="0.3">
      <c r="B48" s="15" t="s">
        <v>11</v>
      </c>
      <c r="C48" s="15" t="s">
        <v>12</v>
      </c>
      <c r="D48" s="15" t="s">
        <v>13</v>
      </c>
      <c r="E48" s="15" t="s">
        <v>14</v>
      </c>
      <c r="F48" s="15" t="s">
        <v>15</v>
      </c>
      <c r="G48" s="15" t="s">
        <v>16</v>
      </c>
      <c r="H48" s="15" t="s">
        <v>17</v>
      </c>
    </row>
    <row r="49" spans="2:8" x14ac:dyDescent="0.3">
      <c r="B49" s="16" t="str">
        <f>IFERROR(INDEX(Inventory!$A$2:$A$49,MATCH(SMALL(Inventory!$R$2:$R$49,1),Inventory!$R$2:$R$49,0)),"")</f>
        <v>SKU-1011</v>
      </c>
      <c r="C49" s="16" t="str">
        <f>IFERROR(INDEX(Inventory!$B$2:$B$49,MATCH(SMALL(Inventory!$R$2:$R$49,1),Inventory!$R$2:$R$49,0)),"")</f>
        <v>Adhesive Tube C</v>
      </c>
      <c r="D49" s="16" t="str">
        <f>IFERROR(INDEX(Inventory!$D$2:$D$49,MATCH(SMALL(Inventory!$R$2:$R$49,1),Inventory!$R$2:$R$49,0)),"")</f>
        <v>WH-East</v>
      </c>
      <c r="E49" s="16">
        <f>IFERROR(INDEX(Inventory!$G$2:$G$49,MATCH(SMALL(Inventory!$R$2:$R$49,1),Inventory!$R$2:$R$49,0)),"")</f>
        <v>1</v>
      </c>
      <c r="F49" s="16">
        <f>IFERROR(INDEX(Inventory!$H$2:$H$49,MATCH(SMALL(Inventory!$R$2:$R$49,1),Inventory!$R$2:$R$49,0)),"")</f>
        <v>136</v>
      </c>
      <c r="G49" s="16">
        <f>IFERROR(ROUND(INDEX(Inventory!$O$2:$O$49,MATCH(SMALL(Inventory!$R$2:$R$49,1),Inventory!$R$2:$R$49,0)),1),"")</f>
        <v>0.1</v>
      </c>
      <c r="H49" s="16" t="str">
        <f>IFERROR(INDEX(Inventory!$Q$2:$Q$49,MATCH(SMALL(Inventory!$R$2:$R$49,1),Inventory!$R$2:$R$49,0)),"")</f>
        <v>Global Pack Solutions</v>
      </c>
    </row>
    <row r="50" spans="2:8" x14ac:dyDescent="0.3">
      <c r="B50" s="16" t="str">
        <f>IFERROR(INDEX(Inventory!$A$2:$A$49,MATCH(SMALL(Inventory!$R$2:$R$49,2),Inventory!$R$2:$R$49,0)),"")</f>
        <v>SKU-1046</v>
      </c>
      <c r="C50" s="16" t="str">
        <f>IFERROR(INDEX(Inventory!$B$2:$B$49,MATCH(SMALL(Inventory!$R$2:$R$49,2),Inventory!$R$2:$R$49,0)),"")</f>
        <v>Hinge Assembly Standard</v>
      </c>
      <c r="D50" s="16" t="str">
        <f>IFERROR(INDEX(Inventory!$D$2:$D$49,MATCH(SMALL(Inventory!$R$2:$R$49,2),Inventory!$R$2:$R$49,0)),"")</f>
        <v>WH-South</v>
      </c>
      <c r="E50" s="16">
        <f>IFERROR(INDEX(Inventory!$G$2:$G$49,MATCH(SMALL(Inventory!$R$2:$R$49,2),Inventory!$R$2:$R$49,0)),"")</f>
        <v>14</v>
      </c>
      <c r="F50" s="16">
        <f>IFERROR(INDEX(Inventory!$H$2:$H$49,MATCH(SMALL(Inventory!$R$2:$R$49,2),Inventory!$R$2:$R$49,0)),"")</f>
        <v>144</v>
      </c>
      <c r="G50" s="16">
        <f>IFERROR(ROUND(INDEX(Inventory!$O$2:$O$49,MATCH(SMALL(Inventory!$R$2:$R$49,2),Inventory!$R$2:$R$49,0)),1),"")</f>
        <v>1.3</v>
      </c>
      <c r="H50" s="16" t="str">
        <f>IFERROR(INDEX(Inventory!$Q$2:$Q$49,MATCH(SMALL(Inventory!$R$2:$R$49,2),Inventory!$R$2:$R$49,0)),"")</f>
        <v>Prime Consumables Corp.</v>
      </c>
    </row>
    <row r="51" spans="2:8" x14ac:dyDescent="0.3">
      <c r="B51" s="16" t="str">
        <f>IFERROR(INDEX(Inventory!$A$2:$A$49,MATCH(SMALL(Inventory!$R$2:$R$49,3),Inventory!$R$2:$R$49,0)),"")</f>
        <v>SKU-1029</v>
      </c>
      <c r="C51" s="16" t="str">
        <f>IFERROR(INDEX(Inventory!$B$2:$B$49,MATCH(SMALL(Inventory!$R$2:$R$49,3),Inventory!$R$2:$R$49,0)),"")</f>
        <v>Lubricant Can C</v>
      </c>
      <c r="D51" s="16" t="str">
        <f>IFERROR(INDEX(Inventory!$D$2:$D$49,MATCH(SMALL(Inventory!$R$2:$R$49,3),Inventory!$R$2:$R$49,0)),"")</f>
        <v>WH-South</v>
      </c>
      <c r="E51" s="16">
        <f>IFERROR(INDEX(Inventory!$G$2:$G$49,MATCH(SMALL(Inventory!$R$2:$R$49,3),Inventory!$R$2:$R$49,0)),"")</f>
        <v>20</v>
      </c>
      <c r="F51" s="16">
        <f>IFERROR(INDEX(Inventory!$H$2:$H$49,MATCH(SMALL(Inventory!$R$2:$R$49,3),Inventory!$R$2:$R$49,0)),"")</f>
        <v>113</v>
      </c>
      <c r="G51" s="16">
        <f>IFERROR(ROUND(INDEX(Inventory!$O$2:$O$49,MATCH(SMALL(Inventory!$R$2:$R$49,3),Inventory!$R$2:$R$49,0)),1),"")</f>
        <v>2</v>
      </c>
      <c r="H51" s="16" t="str">
        <f>IFERROR(INDEX(Inventory!$Q$2:$Q$49,MATCH(SMALL(Inventory!$R$2:$R$49,3),Inventory!$R$2:$R$49,0)),"")</f>
        <v>Sterling Hardware Inc.</v>
      </c>
    </row>
    <row r="52" spans="2:8" x14ac:dyDescent="0.3">
      <c r="B52" s="16" t="str">
        <f>IFERROR(INDEX(Inventory!$A$2:$A$49,MATCH(SMALL(Inventory!$R$2:$R$49,4),Inventory!$R$2:$R$49,0)),"")</f>
        <v>SKU-1034</v>
      </c>
      <c r="C52" s="16" t="str">
        <f>IFERROR(INDEX(Inventory!$B$2:$B$49,MATCH(SMALL(Inventory!$R$2:$R$49,4),Inventory!$R$2:$R$49,0)),"")</f>
        <v>Ball Bearing X</v>
      </c>
      <c r="D52" s="16" t="str">
        <f>IFERROR(INDEX(Inventory!$D$2:$D$49,MATCH(SMALL(Inventory!$R$2:$R$49,4),Inventory!$R$2:$R$49,0)),"")</f>
        <v>WH-North</v>
      </c>
      <c r="E52" s="16">
        <f>IFERROR(INDEX(Inventory!$G$2:$G$49,MATCH(SMALL(Inventory!$R$2:$R$49,4),Inventory!$R$2:$R$49,0)),"")</f>
        <v>22</v>
      </c>
      <c r="F52" s="16">
        <f>IFERROR(INDEX(Inventory!$H$2:$H$49,MATCH(SMALL(Inventory!$R$2:$R$49,4),Inventory!$R$2:$R$49,0)),"")</f>
        <v>85</v>
      </c>
      <c r="G52" s="16">
        <f>IFERROR(ROUND(INDEX(Inventory!$O$2:$O$49,MATCH(SMALL(Inventory!$R$2:$R$49,4),Inventory!$R$2:$R$49,0)),1),"")</f>
        <v>2.8</v>
      </c>
      <c r="H52" s="16" t="str">
        <f>IFERROR(INDEX(Inventory!$Q$2:$Q$49,MATCH(SMALL(Inventory!$R$2:$R$49,4),Inventory!$R$2:$R$49,0)),"")</f>
        <v>Apex Components Ltd.</v>
      </c>
    </row>
    <row r="53" spans="2:8" x14ac:dyDescent="0.3">
      <c r="B53" s="16" t="str">
        <f>IFERROR(INDEX(Inventory!$A$2:$A$49,MATCH(SMALL(Inventory!$R$2:$R$49,5),Inventory!$R$2:$R$49,0)),"")</f>
        <v>SKU-1004</v>
      </c>
      <c r="C53" s="16" t="str">
        <f>IFERROR(INDEX(Inventory!$B$2:$B$49,MATCH(SMALL(Inventory!$R$2:$R$49,5),Inventory!$R$2:$R$49,0)),"")</f>
        <v>Ball Bearing A</v>
      </c>
      <c r="D53" s="16" t="str">
        <f>IFERROR(INDEX(Inventory!$D$2:$D$49,MATCH(SMALL(Inventory!$R$2:$R$49,5),Inventory!$R$2:$R$49,0)),"")</f>
        <v>WH-Central</v>
      </c>
      <c r="E53" s="16">
        <f>IFERROR(INDEX(Inventory!$G$2:$G$49,MATCH(SMALL(Inventory!$R$2:$R$49,5),Inventory!$R$2:$R$49,0)),"")</f>
        <v>40</v>
      </c>
      <c r="F53" s="16">
        <f>IFERROR(INDEX(Inventory!$H$2:$H$49,MATCH(SMALL(Inventory!$R$2:$R$49,5),Inventory!$R$2:$R$49,0)),"")</f>
        <v>116</v>
      </c>
      <c r="G53" s="16">
        <f>IFERROR(ROUND(INDEX(Inventory!$O$2:$O$49,MATCH(SMALL(Inventory!$R$2:$R$49,5),Inventory!$R$2:$R$49,0)),1),"")</f>
        <v>4.5</v>
      </c>
      <c r="H53" s="16" t="str">
        <f>IFERROR(INDEX(Inventory!$Q$2:$Q$49,MATCH(SMALL(Inventory!$R$2:$R$49,5),Inventory!$R$2:$R$49,0)),"")</f>
        <v>Meridian Parts Group</v>
      </c>
    </row>
    <row r="54" spans="2:8" x14ac:dyDescent="0.3">
      <c r="B54" s="16" t="str">
        <f>IFERROR(INDEX(Inventory!$A$2:$A$49,MATCH(SMALL(Inventory!$R$2:$R$49,6),Inventory!$R$2:$R$49,0)),"")</f>
        <v>SKU-1009</v>
      </c>
      <c r="C54" s="16" t="str">
        <f>IFERROR(INDEX(Inventory!$B$2:$B$49,MATCH(SMALL(Inventory!$R$2:$R$49,6),Inventory!$R$2:$R$49,0)),"")</f>
        <v>Carton Tape Pro</v>
      </c>
      <c r="D54" s="16" t="str">
        <f>IFERROR(INDEX(Inventory!$D$2:$D$49,MATCH(SMALL(Inventory!$R$2:$R$49,6),Inventory!$R$2:$R$49,0)),"")</f>
        <v>WH-Central</v>
      </c>
      <c r="E54" s="16">
        <f>IFERROR(INDEX(Inventory!$G$2:$G$49,MATCH(SMALL(Inventory!$R$2:$R$49,6),Inventory!$R$2:$R$49,0)),"")</f>
        <v>70</v>
      </c>
      <c r="F54" s="16">
        <f>IFERROR(INDEX(Inventory!$H$2:$H$49,MATCH(SMALL(Inventory!$R$2:$R$49,6),Inventory!$R$2:$R$49,0)),"")</f>
        <v>76</v>
      </c>
      <c r="G54" s="16">
        <f>IFERROR(ROUND(INDEX(Inventory!$O$2:$O$49,MATCH(SMALL(Inventory!$R$2:$R$49,6),Inventory!$R$2:$R$49,0)),1),"")</f>
        <v>6.1</v>
      </c>
      <c r="H54" s="16" t="str">
        <f>IFERROR(INDEX(Inventory!$Q$2:$Q$49,MATCH(SMALL(Inventory!$R$2:$R$49,6),Inventory!$R$2:$R$49,0)),"")</f>
        <v>Northline Materials Co.</v>
      </c>
    </row>
    <row r="55" spans="2:8" x14ac:dyDescent="0.3">
      <c r="B55" s="16" t="str">
        <f>IFERROR(INDEX(Inventory!$A$2:$A$49,MATCH(SMALL(Inventory!$R$2:$R$49,7),Inventory!$R$2:$R$49,0)),"")</f>
        <v>SKU-1008</v>
      </c>
      <c r="C55" s="16" t="str">
        <f>IFERROR(INDEX(Inventory!$B$2:$B$49,MATCH(SMALL(Inventory!$R$2:$R$49,7),Inventory!$R$2:$R$49,0)),"")</f>
        <v>Copper Wire Coil B</v>
      </c>
      <c r="D55" s="16" t="str">
        <f>IFERROR(INDEX(Inventory!$D$2:$D$49,MATCH(SMALL(Inventory!$R$2:$R$49,7),Inventory!$R$2:$R$49,0)),"")</f>
        <v>WH-Central</v>
      </c>
      <c r="E55" s="16">
        <f>IFERROR(INDEX(Inventory!$G$2:$G$49,MATCH(SMALL(Inventory!$R$2:$R$49,7),Inventory!$R$2:$R$49,0)),"")</f>
        <v>73</v>
      </c>
      <c r="F55" s="16">
        <f>IFERROR(INDEX(Inventory!$H$2:$H$49,MATCH(SMALL(Inventory!$R$2:$R$49,7),Inventory!$R$2:$R$49,0)),"")</f>
        <v>137</v>
      </c>
      <c r="G55" s="16">
        <f>IFERROR(ROUND(INDEX(Inventory!$O$2:$O$49,MATCH(SMALL(Inventory!$R$2:$R$49,7),Inventory!$R$2:$R$49,0)),1),"")</f>
        <v>6.5</v>
      </c>
      <c r="H55" s="16" t="str">
        <f>IFERROR(INDEX(Inventory!$Q$2:$Q$49,MATCH(SMALL(Inventory!$R$2:$R$49,7),Inventory!$R$2:$R$49,0)),"")</f>
        <v>Sterling Hardware Inc.</v>
      </c>
    </row>
    <row r="56" spans="2:8" x14ac:dyDescent="0.3">
      <c r="B56" s="16" t="str">
        <f>IFERROR(INDEX(Inventory!$A$2:$A$49,MATCH(SMALL(Inventory!$R$2:$R$49,8),Inventory!$R$2:$R$49,0)),"")</f>
        <v>SKU-1018</v>
      </c>
      <c r="C56" s="16" t="str">
        <f>IFERROR(INDEX(Inventory!$B$2:$B$49,MATCH(SMALL(Inventory!$R$2:$R$49,8),Inventory!$R$2:$R$49,0)),"")</f>
        <v>Drive Belt B</v>
      </c>
      <c r="D56" s="16" t="str">
        <f>IFERROR(INDEX(Inventory!$D$2:$D$49,MATCH(SMALL(Inventory!$R$2:$R$49,8),Inventory!$R$2:$R$49,0)),"")</f>
        <v>WH-South</v>
      </c>
      <c r="E56" s="16">
        <f>IFERROR(INDEX(Inventory!$G$2:$G$49,MATCH(SMALL(Inventory!$R$2:$R$49,8),Inventory!$R$2:$R$49,0)),"")</f>
        <v>93</v>
      </c>
      <c r="F56" s="16">
        <f>IFERROR(INDEX(Inventory!$H$2:$H$49,MATCH(SMALL(Inventory!$R$2:$R$49,8),Inventory!$R$2:$R$49,0)),"")</f>
        <v>128</v>
      </c>
      <c r="G56" s="16">
        <f>IFERROR(ROUND(INDEX(Inventory!$O$2:$O$49,MATCH(SMALL(Inventory!$R$2:$R$49,8),Inventory!$R$2:$R$49,0)),1),"")</f>
        <v>7</v>
      </c>
      <c r="H56" s="16" t="str">
        <f>IFERROR(INDEX(Inventory!$Q$2:$Q$49,MATCH(SMALL(Inventory!$R$2:$R$49,8),Inventory!$R$2:$R$49,0)),"")</f>
        <v>Sterling Hardware Inc.</v>
      </c>
    </row>
    <row r="57" spans="2:8" x14ac:dyDescent="0.3">
      <c r="B57" s="16" t="str">
        <f>IFERROR(INDEX(Inventory!$A$2:$A$49,MATCH(SMALL(Inventory!$R$2:$R$49,9),Inventory!$R$2:$R$49,0)),"")</f>
        <v>SKU-1003</v>
      </c>
      <c r="C57" s="16" t="str">
        <f>IFERROR(INDEX(Inventory!$B$2:$B$49,MATCH(SMALL(Inventory!$R$2:$R$49,9),Inventory!$R$2:$R$49,0)),"")</f>
        <v>Corrugated Box B</v>
      </c>
      <c r="D57" s="16" t="str">
        <f>IFERROR(INDEX(Inventory!$D$2:$D$49,MATCH(SMALL(Inventory!$R$2:$R$49,9),Inventory!$R$2:$R$49,0)),"")</f>
        <v>WH-Central</v>
      </c>
      <c r="E57" s="16">
        <f>IFERROR(INDEX(Inventory!$G$2:$G$49,MATCH(SMALL(Inventory!$R$2:$R$49,9),Inventory!$R$2:$R$49,0)),"")</f>
        <v>52</v>
      </c>
      <c r="F57" s="16">
        <f>IFERROR(INDEX(Inventory!$H$2:$H$49,MATCH(SMALL(Inventory!$R$2:$R$49,9),Inventory!$R$2:$R$49,0)),"")</f>
        <v>106</v>
      </c>
      <c r="G57" s="16">
        <f>IFERROR(ROUND(INDEX(Inventory!$O$2:$O$49,MATCH(SMALL(Inventory!$R$2:$R$49,9),Inventory!$R$2:$R$49,0)),1),"")</f>
        <v>9.1</v>
      </c>
      <c r="H57" s="16" t="str">
        <f>IFERROR(INDEX(Inventory!$Q$2:$Q$49,MATCH(SMALL(Inventory!$R$2:$R$49,9),Inventory!$R$2:$R$49,0)),"")</f>
        <v>Northline Materials Co.</v>
      </c>
    </row>
    <row r="58" spans="2:8" x14ac:dyDescent="0.3">
      <c r="B58" s="16" t="str">
        <f>IFERROR(INDEX(Inventory!$A$2:$A$49,MATCH(SMALL(Inventory!$R$2:$R$49,10),Inventory!$R$2:$R$49,0)),"")</f>
        <v>SKU-1024</v>
      </c>
      <c r="C58" s="16" t="str">
        <f>IFERROR(INDEX(Inventory!$B$2:$B$49,MATCH(SMALL(Inventory!$R$2:$R$49,10),Inventory!$R$2:$R$49,0)),"")</f>
        <v>Hydraulic Valve A</v>
      </c>
      <c r="D58" s="16" t="str">
        <f>IFERROR(INDEX(Inventory!$D$2:$D$49,MATCH(SMALL(Inventory!$R$2:$R$49,10),Inventory!$R$2:$R$49,0)),"")</f>
        <v>WH-North</v>
      </c>
      <c r="E58" s="16">
        <f>IFERROR(INDEX(Inventory!$G$2:$G$49,MATCH(SMALL(Inventory!$R$2:$R$49,10),Inventory!$R$2:$R$49,0)),"")</f>
        <v>37</v>
      </c>
      <c r="F58" s="16">
        <f>IFERROR(INDEX(Inventory!$H$2:$H$49,MATCH(SMALL(Inventory!$R$2:$R$49,10),Inventory!$R$2:$R$49,0)),"")</f>
        <v>45</v>
      </c>
      <c r="G58" s="16">
        <f>IFERROR(ROUND(INDEX(Inventory!$O$2:$O$49,MATCH(SMALL(Inventory!$R$2:$R$49,10),Inventory!$R$2:$R$49,0)),1),"")</f>
        <v>15.4</v>
      </c>
      <c r="H58" s="16" t="str">
        <f>IFERROR(INDEX(Inventory!$Q$2:$Q$49,MATCH(SMALL(Inventory!$R$2:$R$49,10),Inventory!$R$2:$R$49,0)),"")</f>
        <v>Vertex Industrial Supply</v>
      </c>
    </row>
  </sheetData>
  <mergeCells count="18">
    <mergeCell ref="B10:C11"/>
    <mergeCell ref="E10:F11"/>
    <mergeCell ref="H10:I11"/>
    <mergeCell ref="K10:L11"/>
    <mergeCell ref="B6:C7"/>
    <mergeCell ref="E6:F7"/>
    <mergeCell ref="H6:I7"/>
    <mergeCell ref="K6:L7"/>
    <mergeCell ref="B9:C9"/>
    <mergeCell ref="E9:F9"/>
    <mergeCell ref="H9:I9"/>
    <mergeCell ref="K9:L9"/>
    <mergeCell ref="B2:M2"/>
    <mergeCell ref="B3:M3"/>
    <mergeCell ref="B5:C5"/>
    <mergeCell ref="E5:F5"/>
    <mergeCell ref="H5:I5"/>
    <mergeCell ref="K5:L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0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0" customWidth="1"/>
    <col min="3" max="3" width="95" customWidth="1"/>
  </cols>
  <sheetData>
    <row r="2" spans="2:3" ht="21" x14ac:dyDescent="0.4">
      <c r="B2" s="17" t="s">
        <v>0</v>
      </c>
    </row>
    <row r="3" spans="2:3" x14ac:dyDescent="0.3">
      <c r="B3" s="18" t="s">
        <v>18</v>
      </c>
    </row>
    <row r="5" spans="2:3" ht="39.75" customHeight="1" x14ac:dyDescent="0.3">
      <c r="B5" s="19" t="s">
        <v>19</v>
      </c>
      <c r="C5" s="20" t="s">
        <v>20</v>
      </c>
    </row>
    <row r="7" spans="2:3" ht="39.75" customHeight="1" x14ac:dyDescent="0.3">
      <c r="B7" s="19" t="s">
        <v>21</v>
      </c>
      <c r="C7" s="20" t="s">
        <v>22</v>
      </c>
    </row>
    <row r="9" spans="2:3" ht="39.75" customHeight="1" x14ac:dyDescent="0.3">
      <c r="B9" s="19" t="s">
        <v>23</v>
      </c>
      <c r="C9" s="20" t="s">
        <v>24</v>
      </c>
    </row>
    <row r="11" spans="2:3" ht="39.75" customHeight="1" x14ac:dyDescent="0.3">
      <c r="B11" s="19" t="s">
        <v>25</v>
      </c>
      <c r="C11" s="20" t="s">
        <v>26</v>
      </c>
    </row>
    <row r="13" spans="2:3" ht="39.75" customHeight="1" x14ac:dyDescent="0.3">
      <c r="B13" s="19" t="s">
        <v>27</v>
      </c>
      <c r="C13" s="20" t="s">
        <v>28</v>
      </c>
    </row>
    <row r="15" spans="2:3" ht="39.75" customHeight="1" x14ac:dyDescent="0.3">
      <c r="B15" s="19" t="s">
        <v>29</v>
      </c>
      <c r="C15" s="20" t="s">
        <v>30</v>
      </c>
    </row>
    <row r="18" spans="2:2" x14ac:dyDescent="0.3">
      <c r="B18" s="14" t="s">
        <v>31</v>
      </c>
    </row>
    <row r="19" spans="2:2" x14ac:dyDescent="0.3">
      <c r="B19" s="21" t="s">
        <v>32</v>
      </c>
    </row>
    <row r="20" spans="2:2" x14ac:dyDescent="0.3">
      <c r="B20" s="2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6" customWidth="1"/>
    <col min="3" max="6" width="16" customWidth="1"/>
    <col min="7" max="7" width="14" customWidth="1"/>
    <col min="8" max="8" width="10" customWidth="1"/>
    <col min="9" max="9" width="16" customWidth="1"/>
    <col min="10" max="10" width="20" customWidth="1"/>
  </cols>
  <sheetData>
    <row r="1" spans="1:10" ht="27.6" x14ac:dyDescent="0.3">
      <c r="A1" s="15" t="s">
        <v>34</v>
      </c>
      <c r="B1" s="15" t="s">
        <v>35</v>
      </c>
      <c r="C1" s="15" t="s">
        <v>36</v>
      </c>
      <c r="D1" s="15" t="s">
        <v>37</v>
      </c>
      <c r="E1" s="15" t="s">
        <v>38</v>
      </c>
      <c r="F1" s="15" t="s">
        <v>39</v>
      </c>
      <c r="G1" s="15" t="s">
        <v>40</v>
      </c>
      <c r="H1" s="15" t="s">
        <v>41</v>
      </c>
      <c r="I1" s="15" t="s">
        <v>42</v>
      </c>
      <c r="J1" s="15" t="s">
        <v>43</v>
      </c>
    </row>
    <row r="2" spans="1:10" x14ac:dyDescent="0.3">
      <c r="A2" s="23" t="s">
        <v>44</v>
      </c>
      <c r="B2" s="23" t="s">
        <v>45</v>
      </c>
      <c r="C2" s="23" t="s">
        <v>46</v>
      </c>
      <c r="D2" s="23">
        <v>28</v>
      </c>
      <c r="E2" s="24">
        <v>0.86599999999999999</v>
      </c>
      <c r="F2" s="23">
        <v>5</v>
      </c>
      <c r="G2" s="25">
        <v>43942</v>
      </c>
      <c r="H2" s="16">
        <f>COUNTIF('Purchase Orders'!$C$2:$C$91,A2)</f>
        <v>5</v>
      </c>
      <c r="I2" s="26">
        <f>SUMIFS('Purchase Orders'!$K$2:$K$91,'Purchase Orders'!$C$2:$C$91,A2)</f>
        <v>298024.36</v>
      </c>
      <c r="J2" s="27">
        <f>IFERROR(AVERAGEIFS('Purchase Orders'!$M$2:$M$91,'Purchase Orders'!$C$2:$C$91,A2),"n/a")</f>
        <v>0.8</v>
      </c>
    </row>
    <row r="3" spans="1:10" x14ac:dyDescent="0.3">
      <c r="A3" s="23" t="s">
        <v>47</v>
      </c>
      <c r="B3" s="23" t="s">
        <v>48</v>
      </c>
      <c r="C3" s="23" t="s">
        <v>49</v>
      </c>
      <c r="D3" s="23">
        <v>7</v>
      </c>
      <c r="E3" s="24">
        <v>0.93100000000000005</v>
      </c>
      <c r="F3" s="23">
        <v>4.4000000000000004</v>
      </c>
      <c r="G3" s="25">
        <v>45299</v>
      </c>
      <c r="H3" s="16">
        <f>COUNTIF('Purchase Orders'!$C$2:$C$91,A3)</f>
        <v>15</v>
      </c>
      <c r="I3" s="26">
        <f>SUMIFS('Purchase Orders'!$K$2:$K$91,'Purchase Orders'!$C$2:$C$91,A3)</f>
        <v>590717.50999999989</v>
      </c>
      <c r="J3" s="27">
        <f>IFERROR(AVERAGEIFS('Purchase Orders'!$M$2:$M$91,'Purchase Orders'!$C$2:$C$91,A3),"n/a")</f>
        <v>0.66666666666666663</v>
      </c>
    </row>
    <row r="4" spans="1:10" x14ac:dyDescent="0.3">
      <c r="A4" s="23" t="s">
        <v>50</v>
      </c>
      <c r="B4" s="23" t="s">
        <v>51</v>
      </c>
      <c r="C4" s="23" t="s">
        <v>52</v>
      </c>
      <c r="D4" s="23">
        <v>11</v>
      </c>
      <c r="E4" s="24">
        <v>0.94699999999999995</v>
      </c>
      <c r="F4" s="23">
        <v>4.3</v>
      </c>
      <c r="G4" s="25">
        <v>43540</v>
      </c>
      <c r="H4" s="16">
        <f>COUNTIF('Purchase Orders'!$C$2:$C$91,A4)</f>
        <v>9</v>
      </c>
      <c r="I4" s="26">
        <f>SUMIFS('Purchase Orders'!$K$2:$K$91,'Purchase Orders'!$C$2:$C$91,A4)</f>
        <v>1080550.3400000001</v>
      </c>
      <c r="J4" s="27">
        <f>IFERROR(AVERAGEIFS('Purchase Orders'!$M$2:$M$91,'Purchase Orders'!$C$2:$C$91,A4),"n/a")</f>
        <v>0.88888888888888884</v>
      </c>
    </row>
    <row r="5" spans="1:10" x14ac:dyDescent="0.3">
      <c r="A5" s="23" t="s">
        <v>53</v>
      </c>
      <c r="B5" s="23" t="s">
        <v>54</v>
      </c>
      <c r="C5" s="23" t="s">
        <v>55</v>
      </c>
      <c r="D5" s="23">
        <v>26</v>
      </c>
      <c r="E5" s="24">
        <v>0.751</v>
      </c>
      <c r="F5" s="23">
        <v>4.9000000000000004</v>
      </c>
      <c r="G5" s="25">
        <v>44539</v>
      </c>
      <c r="H5" s="16">
        <f>COUNTIF('Purchase Orders'!$C$2:$C$91,A5)</f>
        <v>17</v>
      </c>
      <c r="I5" s="26">
        <f>SUMIFS('Purchase Orders'!$K$2:$K$91,'Purchase Orders'!$C$2:$C$91,A5)</f>
        <v>409604.89000000007</v>
      </c>
      <c r="J5" s="27">
        <f>IFERROR(AVERAGEIFS('Purchase Orders'!$M$2:$M$91,'Purchase Orders'!$C$2:$C$91,A5),"n/a")</f>
        <v>0.53333333333333333</v>
      </c>
    </row>
    <row r="6" spans="1:10" x14ac:dyDescent="0.3">
      <c r="A6" s="23" t="s">
        <v>56</v>
      </c>
      <c r="B6" s="23" t="s">
        <v>57</v>
      </c>
      <c r="C6" s="23" t="s">
        <v>58</v>
      </c>
      <c r="D6" s="23">
        <v>29</v>
      </c>
      <c r="E6" s="24">
        <v>0.82</v>
      </c>
      <c r="F6" s="23">
        <v>4.3</v>
      </c>
      <c r="G6" s="25">
        <v>45264</v>
      </c>
      <c r="H6" s="16">
        <f>COUNTIF('Purchase Orders'!$C$2:$C$91,A6)</f>
        <v>9</v>
      </c>
      <c r="I6" s="26">
        <f>SUMIFS('Purchase Orders'!$K$2:$K$91,'Purchase Orders'!$C$2:$C$91,A6)</f>
        <v>555704.65</v>
      </c>
      <c r="J6" s="27">
        <f>IFERROR(AVERAGEIFS('Purchase Orders'!$M$2:$M$91,'Purchase Orders'!$C$2:$C$91,A6),"n/a")</f>
        <v>0.75</v>
      </c>
    </row>
    <row r="7" spans="1:10" x14ac:dyDescent="0.3">
      <c r="A7" s="23" t="s">
        <v>59</v>
      </c>
      <c r="B7" s="23" t="s">
        <v>60</v>
      </c>
      <c r="C7" s="23" t="s">
        <v>61</v>
      </c>
      <c r="D7" s="23">
        <v>29</v>
      </c>
      <c r="E7" s="24">
        <v>0.94099999999999995</v>
      </c>
      <c r="F7" s="23">
        <v>4.9000000000000004</v>
      </c>
      <c r="G7" s="25">
        <v>43374</v>
      </c>
      <c r="H7" s="16">
        <f>COUNTIF('Purchase Orders'!$C$2:$C$91,A7)</f>
        <v>21</v>
      </c>
      <c r="I7" s="26">
        <f>SUMIFS('Purchase Orders'!$K$2:$K$91,'Purchase Orders'!$C$2:$C$91,A7)</f>
        <v>1199685.6399999999</v>
      </c>
      <c r="J7" s="27">
        <f>IFERROR(AVERAGEIFS('Purchase Orders'!$M$2:$M$91,'Purchase Orders'!$C$2:$C$91,A7),"n/a")</f>
        <v>0.55000000000000004</v>
      </c>
    </row>
    <row r="8" spans="1:10" x14ac:dyDescent="0.3">
      <c r="A8" s="23" t="s">
        <v>62</v>
      </c>
      <c r="B8" s="23" t="s">
        <v>63</v>
      </c>
      <c r="C8" s="23" t="s">
        <v>64</v>
      </c>
      <c r="D8" s="23">
        <v>14</v>
      </c>
      <c r="E8" s="24">
        <v>0.875</v>
      </c>
      <c r="F8" s="23">
        <v>4.8</v>
      </c>
      <c r="G8" s="25">
        <v>44400</v>
      </c>
      <c r="H8" s="16">
        <f>COUNTIF('Purchase Orders'!$C$2:$C$91,A8)</f>
        <v>8</v>
      </c>
      <c r="I8" s="26">
        <f>SUMIFS('Purchase Orders'!$K$2:$K$91,'Purchase Orders'!$C$2:$C$91,A8)</f>
        <v>374040.15</v>
      </c>
      <c r="J8" s="27">
        <f>IFERROR(AVERAGEIFS('Purchase Orders'!$M$2:$M$91,'Purchase Orders'!$C$2:$C$91,A8),"n/a")</f>
        <v>0.4</v>
      </c>
    </row>
    <row r="9" spans="1:10" x14ac:dyDescent="0.3">
      <c r="A9" s="23" t="s">
        <v>65</v>
      </c>
      <c r="B9" s="23" t="s">
        <v>66</v>
      </c>
      <c r="C9" s="23" t="s">
        <v>67</v>
      </c>
      <c r="D9" s="23">
        <v>11</v>
      </c>
      <c r="E9" s="24">
        <v>0.74099999999999999</v>
      </c>
      <c r="F9" s="23">
        <v>4.4000000000000004</v>
      </c>
      <c r="G9" s="25">
        <v>45020</v>
      </c>
      <c r="H9" s="16">
        <f>COUNTIF('Purchase Orders'!$C$2:$C$91,A9)</f>
        <v>6</v>
      </c>
      <c r="I9" s="26">
        <f>SUMIFS('Purchase Orders'!$K$2:$K$91,'Purchase Orders'!$C$2:$C$91,A9)</f>
        <v>268328.25</v>
      </c>
      <c r="J9" s="27">
        <f>IFERROR(AVERAGEIFS('Purchase Orders'!$M$2:$M$91,'Purchase Orders'!$C$2:$C$91,A9),"n/a")</f>
        <v>0.66666666666666663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24" customWidth="1"/>
    <col min="3" max="3" width="16" customWidth="1"/>
    <col min="4" max="4" width="11" customWidth="1"/>
    <col min="5" max="8" width="12" customWidth="1"/>
    <col min="9" max="9" width="11" customWidth="1"/>
    <col min="10" max="11" width="12" customWidth="1"/>
    <col min="12" max="12" width="13" customWidth="1"/>
    <col min="13" max="13" width="14" customWidth="1"/>
    <col min="14" max="14" width="15" customWidth="1"/>
    <col min="15" max="15" width="12" customWidth="1"/>
    <col min="16" max="16" width="14" customWidth="1"/>
    <col min="17" max="17" width="24" customWidth="1"/>
    <col min="18" max="18" width="14" customWidth="1"/>
  </cols>
  <sheetData>
    <row r="1" spans="1:18" ht="27.6" x14ac:dyDescent="0.3">
      <c r="A1" s="15" t="s">
        <v>11</v>
      </c>
      <c r="B1" s="15" t="s">
        <v>12</v>
      </c>
      <c r="C1" s="15" t="s">
        <v>68</v>
      </c>
      <c r="D1" s="15" t="s">
        <v>13</v>
      </c>
      <c r="E1" s="15" t="s">
        <v>69</v>
      </c>
      <c r="F1" s="15" t="s">
        <v>70</v>
      </c>
      <c r="G1" s="15" t="s">
        <v>14</v>
      </c>
      <c r="H1" s="15" t="s">
        <v>15</v>
      </c>
      <c r="I1" s="15" t="s">
        <v>71</v>
      </c>
      <c r="J1" s="15" t="s">
        <v>72</v>
      </c>
      <c r="K1" s="15" t="s">
        <v>34</v>
      </c>
      <c r="L1" s="15" t="s">
        <v>73</v>
      </c>
      <c r="M1" s="15" t="s">
        <v>74</v>
      </c>
      <c r="N1" s="15" t="s">
        <v>75</v>
      </c>
      <c r="O1" s="15" t="s">
        <v>16</v>
      </c>
      <c r="P1" s="15" t="s">
        <v>76</v>
      </c>
      <c r="Q1" s="15" t="s">
        <v>35</v>
      </c>
      <c r="R1" s="15" t="s">
        <v>77</v>
      </c>
    </row>
    <row r="2" spans="1:18" x14ac:dyDescent="0.3">
      <c r="A2" s="23" t="s">
        <v>78</v>
      </c>
      <c r="B2" s="23" t="s">
        <v>79</v>
      </c>
      <c r="C2" s="23" t="s">
        <v>80</v>
      </c>
      <c r="D2" s="23" t="s">
        <v>81</v>
      </c>
      <c r="E2" s="28">
        <v>334.21</v>
      </c>
      <c r="F2" s="28">
        <v>466.53</v>
      </c>
      <c r="G2" s="23">
        <v>377</v>
      </c>
      <c r="H2" s="23">
        <v>55</v>
      </c>
      <c r="I2" s="23">
        <v>152</v>
      </c>
      <c r="J2" s="23">
        <v>37</v>
      </c>
      <c r="K2" s="23" t="s">
        <v>47</v>
      </c>
      <c r="L2" s="23">
        <v>9.1</v>
      </c>
      <c r="M2" s="25">
        <v>46113</v>
      </c>
      <c r="N2" s="26">
        <f t="shared" ref="N2:N49" si="0">G2*E2</f>
        <v>125997.17</v>
      </c>
      <c r="O2" s="16">
        <f t="shared" ref="O2:O49" si="1">IFERROR(G2/L2,"n/a")</f>
        <v>41.428571428571431</v>
      </c>
      <c r="P2" s="16" t="str">
        <f t="shared" ref="P2:P49" si="2">IF(G2&lt;=H2,"Reorder Now",IF(AND(ISNUMBER(O2),O2&lt;14),"Low - Watch","OK"))</f>
        <v>OK</v>
      </c>
      <c r="Q2" s="16" t="str">
        <f>IFERROR(INDEX(Suppliers!$B$2:$B$9,MATCH(K2,Suppliers!$A$2:$A$9,0)),"Unknown")</f>
        <v>Northline Materials Co.</v>
      </c>
      <c r="R2" s="16" t="str">
        <f t="shared" ref="R2:R49" si="3">IF(P2="Reorder Now",O2+ROW()/100000,"")</f>
        <v/>
      </c>
    </row>
    <row r="3" spans="1:18" x14ac:dyDescent="0.3">
      <c r="A3" s="23" t="s">
        <v>82</v>
      </c>
      <c r="B3" s="23" t="s">
        <v>83</v>
      </c>
      <c r="C3" s="23" t="s">
        <v>84</v>
      </c>
      <c r="D3" s="23" t="s">
        <v>85</v>
      </c>
      <c r="E3" s="28">
        <v>228.4</v>
      </c>
      <c r="F3" s="28">
        <v>278.93</v>
      </c>
      <c r="G3" s="23">
        <v>366</v>
      </c>
      <c r="H3" s="23">
        <v>70</v>
      </c>
      <c r="I3" s="23">
        <v>432</v>
      </c>
      <c r="J3" s="23">
        <v>37</v>
      </c>
      <c r="K3" s="23" t="s">
        <v>62</v>
      </c>
      <c r="L3" s="23">
        <v>3.7</v>
      </c>
      <c r="M3" s="25">
        <v>46243</v>
      </c>
      <c r="N3" s="26">
        <f t="shared" si="0"/>
        <v>83594.400000000009</v>
      </c>
      <c r="O3" s="16">
        <f t="shared" si="1"/>
        <v>98.918918918918919</v>
      </c>
      <c r="P3" s="16" t="str">
        <f t="shared" si="2"/>
        <v>OK</v>
      </c>
      <c r="Q3" s="16" t="str">
        <f>IFERROR(INDEX(Suppliers!$B$2:$B$9,MATCH(K3,Suppliers!$A$2:$A$9,0)),"Unknown")</f>
        <v>Prime Consumables Corp.</v>
      </c>
      <c r="R3" s="16" t="str">
        <f t="shared" si="3"/>
        <v/>
      </c>
    </row>
    <row r="4" spans="1:18" x14ac:dyDescent="0.3">
      <c r="A4" s="23" t="s">
        <v>86</v>
      </c>
      <c r="B4" s="23" t="s">
        <v>87</v>
      </c>
      <c r="C4" s="23" t="s">
        <v>88</v>
      </c>
      <c r="D4" s="23" t="s">
        <v>89</v>
      </c>
      <c r="E4" s="28">
        <v>154.43</v>
      </c>
      <c r="F4" s="28">
        <v>204.52</v>
      </c>
      <c r="G4" s="23">
        <v>52</v>
      </c>
      <c r="H4" s="23">
        <v>106</v>
      </c>
      <c r="I4" s="23">
        <v>147</v>
      </c>
      <c r="J4" s="23">
        <v>27</v>
      </c>
      <c r="K4" s="23" t="s">
        <v>47</v>
      </c>
      <c r="L4" s="23">
        <v>5.7</v>
      </c>
      <c r="M4" s="25">
        <v>46193</v>
      </c>
      <c r="N4" s="26">
        <f t="shared" si="0"/>
        <v>8030.3600000000006</v>
      </c>
      <c r="O4" s="16">
        <f t="shared" si="1"/>
        <v>9.1228070175438596</v>
      </c>
      <c r="P4" s="16" t="str">
        <f t="shared" si="2"/>
        <v>Reorder Now</v>
      </c>
      <c r="Q4" s="16" t="str">
        <f>IFERROR(INDEX(Suppliers!$B$2:$B$9,MATCH(K4,Suppliers!$A$2:$A$9,0)),"Unknown")</f>
        <v>Northline Materials Co.</v>
      </c>
      <c r="R4" s="16">
        <f t="shared" si="3"/>
        <v>9.1228470175438598</v>
      </c>
    </row>
    <row r="5" spans="1:18" x14ac:dyDescent="0.3">
      <c r="A5" s="23" t="s">
        <v>90</v>
      </c>
      <c r="B5" s="23" t="s">
        <v>91</v>
      </c>
      <c r="C5" s="23" t="s">
        <v>92</v>
      </c>
      <c r="D5" s="23" t="s">
        <v>89</v>
      </c>
      <c r="E5" s="28">
        <v>242.23</v>
      </c>
      <c r="F5" s="28">
        <v>479.25</v>
      </c>
      <c r="G5" s="23">
        <v>40</v>
      </c>
      <c r="H5" s="23">
        <v>116</v>
      </c>
      <c r="I5" s="23">
        <v>382</v>
      </c>
      <c r="J5" s="23">
        <v>21</v>
      </c>
      <c r="K5" s="23" t="s">
        <v>59</v>
      </c>
      <c r="L5" s="23">
        <v>8.9</v>
      </c>
      <c r="M5" s="25">
        <v>46114</v>
      </c>
      <c r="N5" s="26">
        <f t="shared" si="0"/>
        <v>9689.1999999999989</v>
      </c>
      <c r="O5" s="16">
        <f t="shared" si="1"/>
        <v>4.4943820224719095</v>
      </c>
      <c r="P5" s="16" t="str">
        <f t="shared" si="2"/>
        <v>Reorder Now</v>
      </c>
      <c r="Q5" s="16" t="str">
        <f>IFERROR(INDEX(Suppliers!$B$2:$B$9,MATCH(K5,Suppliers!$A$2:$A$9,0)),"Unknown")</f>
        <v>Meridian Parts Group</v>
      </c>
      <c r="R5" s="16">
        <f t="shared" si="3"/>
        <v>4.4944320224719094</v>
      </c>
    </row>
    <row r="6" spans="1:18" x14ac:dyDescent="0.3">
      <c r="A6" s="23" t="s">
        <v>93</v>
      </c>
      <c r="B6" s="23" t="s">
        <v>94</v>
      </c>
      <c r="C6" s="23" t="s">
        <v>95</v>
      </c>
      <c r="D6" s="23" t="s">
        <v>96</v>
      </c>
      <c r="E6" s="28">
        <v>443.38</v>
      </c>
      <c r="F6" s="28">
        <v>835.44</v>
      </c>
      <c r="G6" s="23">
        <v>194</v>
      </c>
      <c r="H6" s="23">
        <v>45</v>
      </c>
      <c r="I6" s="23">
        <v>242</v>
      </c>
      <c r="J6" s="23">
        <v>32</v>
      </c>
      <c r="K6" s="23" t="s">
        <v>59</v>
      </c>
      <c r="L6" s="23">
        <v>2.9</v>
      </c>
      <c r="M6" s="25">
        <v>46180</v>
      </c>
      <c r="N6" s="26">
        <f t="shared" si="0"/>
        <v>86015.72</v>
      </c>
      <c r="O6" s="16">
        <f t="shared" si="1"/>
        <v>66.896551724137936</v>
      </c>
      <c r="P6" s="16" t="str">
        <f t="shared" si="2"/>
        <v>OK</v>
      </c>
      <c r="Q6" s="16" t="str">
        <f>IFERROR(INDEX(Suppliers!$B$2:$B$9,MATCH(K6,Suppliers!$A$2:$A$9,0)),"Unknown")</f>
        <v>Meridian Parts Group</v>
      </c>
      <c r="R6" s="16" t="str">
        <f t="shared" si="3"/>
        <v/>
      </c>
    </row>
    <row r="7" spans="1:18" x14ac:dyDescent="0.3">
      <c r="A7" s="23" t="s">
        <v>97</v>
      </c>
      <c r="B7" s="23" t="s">
        <v>98</v>
      </c>
      <c r="C7" s="23" t="s">
        <v>99</v>
      </c>
      <c r="D7" s="23" t="s">
        <v>81</v>
      </c>
      <c r="E7" s="28">
        <v>274.89</v>
      </c>
      <c r="F7" s="28">
        <v>367.5</v>
      </c>
      <c r="G7" s="23">
        <v>83</v>
      </c>
      <c r="H7" s="23">
        <v>82</v>
      </c>
      <c r="I7" s="23">
        <v>336</v>
      </c>
      <c r="J7" s="23">
        <v>27</v>
      </c>
      <c r="K7" s="23" t="s">
        <v>56</v>
      </c>
      <c r="L7" s="23">
        <v>14.8</v>
      </c>
      <c r="M7" s="25">
        <v>46242</v>
      </c>
      <c r="N7" s="26">
        <f t="shared" si="0"/>
        <v>22815.87</v>
      </c>
      <c r="O7" s="16">
        <f t="shared" si="1"/>
        <v>5.6081081081081079</v>
      </c>
      <c r="P7" s="16" t="str">
        <f t="shared" si="2"/>
        <v>Low - Watch</v>
      </c>
      <c r="Q7" s="16" t="str">
        <f>IFERROR(INDEX(Suppliers!$B$2:$B$9,MATCH(K7,Suppliers!$A$2:$A$9,0)),"Unknown")</f>
        <v>Vertex Industrial Supply</v>
      </c>
      <c r="R7" s="16" t="str">
        <f t="shared" si="3"/>
        <v/>
      </c>
    </row>
    <row r="8" spans="1:18" x14ac:dyDescent="0.3">
      <c r="A8" s="23" t="s">
        <v>100</v>
      </c>
      <c r="B8" s="23" t="s">
        <v>101</v>
      </c>
      <c r="C8" s="23" t="s">
        <v>80</v>
      </c>
      <c r="D8" s="23" t="s">
        <v>81</v>
      </c>
      <c r="E8" s="28">
        <v>104.61</v>
      </c>
      <c r="F8" s="28">
        <v>128.22</v>
      </c>
      <c r="G8" s="23">
        <v>205</v>
      </c>
      <c r="H8" s="23">
        <v>100</v>
      </c>
      <c r="I8" s="23">
        <v>237</v>
      </c>
      <c r="J8" s="23">
        <v>7</v>
      </c>
      <c r="K8" s="23" t="s">
        <v>53</v>
      </c>
      <c r="L8" s="23">
        <v>13.7</v>
      </c>
      <c r="M8" s="25">
        <v>46257</v>
      </c>
      <c r="N8" s="26">
        <f t="shared" si="0"/>
        <v>21445.05</v>
      </c>
      <c r="O8" s="16">
        <f t="shared" si="1"/>
        <v>14.963503649635037</v>
      </c>
      <c r="P8" s="16" t="str">
        <f t="shared" si="2"/>
        <v>OK</v>
      </c>
      <c r="Q8" s="16" t="str">
        <f>IFERROR(INDEX(Suppliers!$B$2:$B$9,MATCH(K8,Suppliers!$A$2:$A$9,0)),"Unknown")</f>
        <v>Sterling Hardware Inc.</v>
      </c>
      <c r="R8" s="16" t="str">
        <f t="shared" si="3"/>
        <v/>
      </c>
    </row>
    <row r="9" spans="1:18" x14ac:dyDescent="0.3">
      <c r="A9" s="23" t="s">
        <v>102</v>
      </c>
      <c r="B9" s="23" t="s">
        <v>103</v>
      </c>
      <c r="C9" s="23" t="s">
        <v>84</v>
      </c>
      <c r="D9" s="23" t="s">
        <v>89</v>
      </c>
      <c r="E9" s="28">
        <v>179.24</v>
      </c>
      <c r="F9" s="28">
        <v>346.23</v>
      </c>
      <c r="G9" s="23">
        <v>73</v>
      </c>
      <c r="H9" s="23">
        <v>137</v>
      </c>
      <c r="I9" s="23">
        <v>235</v>
      </c>
      <c r="J9" s="23">
        <v>11</v>
      </c>
      <c r="K9" s="23" t="s">
        <v>53</v>
      </c>
      <c r="L9" s="23">
        <v>11.3</v>
      </c>
      <c r="M9" s="25">
        <v>46243</v>
      </c>
      <c r="N9" s="26">
        <f t="shared" si="0"/>
        <v>13084.52</v>
      </c>
      <c r="O9" s="16">
        <f t="shared" si="1"/>
        <v>6.4601769911504423</v>
      </c>
      <c r="P9" s="16" t="str">
        <f t="shared" si="2"/>
        <v>Reorder Now</v>
      </c>
      <c r="Q9" s="16" t="str">
        <f>IFERROR(INDEX(Suppliers!$B$2:$B$9,MATCH(K9,Suppliers!$A$2:$A$9,0)),"Unknown")</f>
        <v>Sterling Hardware Inc.</v>
      </c>
      <c r="R9" s="16">
        <f t="shared" si="3"/>
        <v>6.4602669911504425</v>
      </c>
    </row>
    <row r="10" spans="1:18" x14ac:dyDescent="0.3">
      <c r="A10" s="23" t="s">
        <v>104</v>
      </c>
      <c r="B10" s="23" t="s">
        <v>105</v>
      </c>
      <c r="C10" s="23" t="s">
        <v>88</v>
      </c>
      <c r="D10" s="23" t="s">
        <v>89</v>
      </c>
      <c r="E10" s="28">
        <v>404.22</v>
      </c>
      <c r="F10" s="28">
        <v>614.22</v>
      </c>
      <c r="G10" s="23">
        <v>70</v>
      </c>
      <c r="H10" s="23">
        <v>76</v>
      </c>
      <c r="I10" s="23">
        <v>360</v>
      </c>
      <c r="J10" s="23">
        <v>34</v>
      </c>
      <c r="K10" s="23" t="s">
        <v>47</v>
      </c>
      <c r="L10" s="23">
        <v>11.5</v>
      </c>
      <c r="M10" s="25">
        <v>46117</v>
      </c>
      <c r="N10" s="26">
        <f t="shared" si="0"/>
        <v>28295.4</v>
      </c>
      <c r="O10" s="16">
        <f t="shared" si="1"/>
        <v>6.0869565217391308</v>
      </c>
      <c r="P10" s="16" t="str">
        <f t="shared" si="2"/>
        <v>Reorder Now</v>
      </c>
      <c r="Q10" s="16" t="str">
        <f>IFERROR(INDEX(Suppliers!$B$2:$B$9,MATCH(K10,Suppliers!$A$2:$A$9,0)),"Unknown")</f>
        <v>Northline Materials Co.</v>
      </c>
      <c r="R10" s="16">
        <f t="shared" si="3"/>
        <v>6.0870565217391306</v>
      </c>
    </row>
    <row r="11" spans="1:18" x14ac:dyDescent="0.3">
      <c r="A11" s="23" t="s">
        <v>106</v>
      </c>
      <c r="B11" s="23" t="s">
        <v>107</v>
      </c>
      <c r="C11" s="23" t="s">
        <v>92</v>
      </c>
      <c r="D11" s="23" t="s">
        <v>89</v>
      </c>
      <c r="E11" s="28">
        <v>269.19</v>
      </c>
      <c r="F11" s="28">
        <v>405.89</v>
      </c>
      <c r="G11" s="23">
        <v>270</v>
      </c>
      <c r="H11" s="23">
        <v>139</v>
      </c>
      <c r="I11" s="23">
        <v>228</v>
      </c>
      <c r="J11" s="23">
        <v>38</v>
      </c>
      <c r="K11" s="23" t="s">
        <v>44</v>
      </c>
      <c r="L11" s="23">
        <v>10.4</v>
      </c>
      <c r="M11" s="25">
        <v>46134</v>
      </c>
      <c r="N11" s="26">
        <f t="shared" si="0"/>
        <v>72681.3</v>
      </c>
      <c r="O11" s="16">
        <f t="shared" si="1"/>
        <v>25.96153846153846</v>
      </c>
      <c r="P11" s="16" t="str">
        <f t="shared" si="2"/>
        <v>OK</v>
      </c>
      <c r="Q11" s="16" t="str">
        <f>IFERROR(INDEX(Suppliers!$B$2:$B$9,MATCH(K11,Suppliers!$A$2:$A$9,0)),"Unknown")</f>
        <v>Apex Components Ltd.</v>
      </c>
      <c r="R11" s="16" t="str">
        <f t="shared" si="3"/>
        <v/>
      </c>
    </row>
    <row r="12" spans="1:18" x14ac:dyDescent="0.3">
      <c r="A12" s="23" t="s">
        <v>108</v>
      </c>
      <c r="B12" s="23" t="s">
        <v>109</v>
      </c>
      <c r="C12" s="23" t="s">
        <v>95</v>
      </c>
      <c r="D12" s="23" t="s">
        <v>96</v>
      </c>
      <c r="E12" s="28">
        <v>51.98</v>
      </c>
      <c r="F12" s="28">
        <v>80.459999999999994</v>
      </c>
      <c r="G12" s="23">
        <v>1</v>
      </c>
      <c r="H12" s="23">
        <v>136</v>
      </c>
      <c r="I12" s="23">
        <v>469</v>
      </c>
      <c r="J12" s="23">
        <v>19</v>
      </c>
      <c r="K12" s="23" t="s">
        <v>50</v>
      </c>
      <c r="L12" s="23">
        <v>7.9</v>
      </c>
      <c r="M12" s="25">
        <v>46140</v>
      </c>
      <c r="N12" s="26">
        <f t="shared" si="0"/>
        <v>51.98</v>
      </c>
      <c r="O12" s="16">
        <f t="shared" si="1"/>
        <v>0.12658227848101264</v>
      </c>
      <c r="P12" s="16" t="str">
        <f t="shared" si="2"/>
        <v>Reorder Now</v>
      </c>
      <c r="Q12" s="16" t="str">
        <f>IFERROR(INDEX(Suppliers!$B$2:$B$9,MATCH(K12,Suppliers!$A$2:$A$9,0)),"Unknown")</f>
        <v>Global Pack Solutions</v>
      </c>
      <c r="R12" s="16">
        <f t="shared" si="3"/>
        <v>0.12670227848101265</v>
      </c>
    </row>
    <row r="13" spans="1:18" x14ac:dyDescent="0.3">
      <c r="A13" s="23" t="s">
        <v>110</v>
      </c>
      <c r="B13" s="23" t="s">
        <v>98</v>
      </c>
      <c r="C13" s="23" t="s">
        <v>99</v>
      </c>
      <c r="D13" s="23" t="s">
        <v>85</v>
      </c>
      <c r="E13" s="28">
        <v>70.47</v>
      </c>
      <c r="F13" s="28">
        <v>127.55</v>
      </c>
      <c r="G13" s="23">
        <v>306</v>
      </c>
      <c r="H13" s="23">
        <v>20</v>
      </c>
      <c r="I13" s="23">
        <v>265</v>
      </c>
      <c r="J13" s="23">
        <v>34</v>
      </c>
      <c r="K13" s="23" t="s">
        <v>44</v>
      </c>
      <c r="L13" s="23">
        <v>2.1</v>
      </c>
      <c r="M13" s="25">
        <v>46200</v>
      </c>
      <c r="N13" s="26">
        <f t="shared" si="0"/>
        <v>21563.82</v>
      </c>
      <c r="O13" s="16">
        <f t="shared" si="1"/>
        <v>145.71428571428569</v>
      </c>
      <c r="P13" s="16" t="str">
        <f t="shared" si="2"/>
        <v>OK</v>
      </c>
      <c r="Q13" s="16" t="str">
        <f>IFERROR(INDEX(Suppliers!$B$2:$B$9,MATCH(K13,Suppliers!$A$2:$A$9,0)),"Unknown")</f>
        <v>Apex Components Ltd.</v>
      </c>
      <c r="R13" s="16" t="str">
        <f t="shared" si="3"/>
        <v/>
      </c>
    </row>
    <row r="14" spans="1:18" x14ac:dyDescent="0.3">
      <c r="A14" s="23" t="s">
        <v>111</v>
      </c>
      <c r="B14" s="23" t="s">
        <v>112</v>
      </c>
      <c r="C14" s="23" t="s">
        <v>80</v>
      </c>
      <c r="D14" s="23" t="s">
        <v>81</v>
      </c>
      <c r="E14" s="28">
        <v>109.91</v>
      </c>
      <c r="F14" s="28">
        <v>181.78</v>
      </c>
      <c r="G14" s="23">
        <v>43</v>
      </c>
      <c r="H14" s="23">
        <v>40</v>
      </c>
      <c r="I14" s="23">
        <v>474</v>
      </c>
      <c r="J14" s="23">
        <v>34</v>
      </c>
      <c r="K14" s="23" t="s">
        <v>47</v>
      </c>
      <c r="L14" s="23">
        <v>14.7</v>
      </c>
      <c r="M14" s="25">
        <v>46259</v>
      </c>
      <c r="N14" s="26">
        <f t="shared" si="0"/>
        <v>4726.13</v>
      </c>
      <c r="O14" s="16">
        <f t="shared" si="1"/>
        <v>2.925170068027211</v>
      </c>
      <c r="P14" s="16" t="str">
        <f t="shared" si="2"/>
        <v>Low - Watch</v>
      </c>
      <c r="Q14" s="16" t="str">
        <f>IFERROR(INDEX(Suppliers!$B$2:$B$9,MATCH(K14,Suppliers!$A$2:$A$9,0)),"Unknown")</f>
        <v>Northline Materials Co.</v>
      </c>
      <c r="R14" s="16" t="str">
        <f t="shared" si="3"/>
        <v/>
      </c>
    </row>
    <row r="15" spans="1:18" x14ac:dyDescent="0.3">
      <c r="A15" s="23" t="s">
        <v>113</v>
      </c>
      <c r="B15" s="23" t="s">
        <v>114</v>
      </c>
      <c r="C15" s="23" t="s">
        <v>84</v>
      </c>
      <c r="D15" s="23" t="s">
        <v>89</v>
      </c>
      <c r="E15" s="28">
        <v>426.19</v>
      </c>
      <c r="F15" s="28">
        <v>567.73</v>
      </c>
      <c r="G15" s="23">
        <v>108</v>
      </c>
      <c r="H15" s="23">
        <v>128</v>
      </c>
      <c r="I15" s="23">
        <v>376</v>
      </c>
      <c r="J15" s="23">
        <v>15</v>
      </c>
      <c r="K15" s="23" t="s">
        <v>56</v>
      </c>
      <c r="L15" s="23">
        <v>6.3</v>
      </c>
      <c r="M15" s="25">
        <v>46188</v>
      </c>
      <c r="N15" s="26">
        <f t="shared" si="0"/>
        <v>46028.52</v>
      </c>
      <c r="O15" s="16">
        <f t="shared" si="1"/>
        <v>17.142857142857142</v>
      </c>
      <c r="P15" s="16" t="str">
        <f t="shared" si="2"/>
        <v>Reorder Now</v>
      </c>
      <c r="Q15" s="16" t="str">
        <f>IFERROR(INDEX(Suppliers!$B$2:$B$9,MATCH(K15,Suppliers!$A$2:$A$9,0)),"Unknown")</f>
        <v>Vertex Industrial Supply</v>
      </c>
      <c r="R15" s="16">
        <f t="shared" si="3"/>
        <v>17.143007142857144</v>
      </c>
    </row>
    <row r="16" spans="1:18" x14ac:dyDescent="0.3">
      <c r="A16" s="23" t="s">
        <v>115</v>
      </c>
      <c r="B16" s="23" t="s">
        <v>116</v>
      </c>
      <c r="C16" s="23" t="s">
        <v>88</v>
      </c>
      <c r="D16" s="23" t="s">
        <v>81</v>
      </c>
      <c r="E16" s="28">
        <v>113.06</v>
      </c>
      <c r="F16" s="28">
        <v>141.46</v>
      </c>
      <c r="G16" s="23">
        <v>301</v>
      </c>
      <c r="H16" s="23">
        <v>25</v>
      </c>
      <c r="I16" s="23">
        <v>383</v>
      </c>
      <c r="J16" s="23">
        <v>17</v>
      </c>
      <c r="K16" s="23" t="s">
        <v>53</v>
      </c>
      <c r="L16" s="23">
        <v>0.6</v>
      </c>
      <c r="M16" s="25">
        <v>46120</v>
      </c>
      <c r="N16" s="26">
        <f t="shared" si="0"/>
        <v>34031.06</v>
      </c>
      <c r="O16" s="16">
        <f t="shared" si="1"/>
        <v>501.66666666666669</v>
      </c>
      <c r="P16" s="16" t="str">
        <f t="shared" si="2"/>
        <v>OK</v>
      </c>
      <c r="Q16" s="16" t="str">
        <f>IFERROR(INDEX(Suppliers!$B$2:$B$9,MATCH(K16,Suppliers!$A$2:$A$9,0)),"Unknown")</f>
        <v>Sterling Hardware Inc.</v>
      </c>
      <c r="R16" s="16" t="str">
        <f t="shared" si="3"/>
        <v/>
      </c>
    </row>
    <row r="17" spans="1:18" x14ac:dyDescent="0.3">
      <c r="A17" s="23" t="s">
        <v>117</v>
      </c>
      <c r="B17" s="23" t="s">
        <v>118</v>
      </c>
      <c r="C17" s="23" t="s">
        <v>92</v>
      </c>
      <c r="D17" s="23" t="s">
        <v>96</v>
      </c>
      <c r="E17" s="28">
        <v>33.74</v>
      </c>
      <c r="F17" s="28">
        <v>46.91</v>
      </c>
      <c r="G17" s="23">
        <v>109</v>
      </c>
      <c r="H17" s="23">
        <v>144</v>
      </c>
      <c r="I17" s="23">
        <v>376</v>
      </c>
      <c r="J17" s="23">
        <v>11</v>
      </c>
      <c r="K17" s="23" t="s">
        <v>65</v>
      </c>
      <c r="L17" s="23">
        <v>4</v>
      </c>
      <c r="M17" s="25">
        <v>46229</v>
      </c>
      <c r="N17" s="26">
        <f t="shared" si="0"/>
        <v>3677.6600000000003</v>
      </c>
      <c r="O17" s="16">
        <f t="shared" si="1"/>
        <v>27.25</v>
      </c>
      <c r="P17" s="16" t="str">
        <f t="shared" si="2"/>
        <v>Reorder Now</v>
      </c>
      <c r="Q17" s="16" t="str">
        <f>IFERROR(INDEX(Suppliers!$B$2:$B$9,MATCH(K17,Suppliers!$A$2:$A$9,0)),"Unknown")</f>
        <v>Horizon Machinery Traders</v>
      </c>
      <c r="R17" s="16">
        <f t="shared" si="3"/>
        <v>27.250170000000001</v>
      </c>
    </row>
    <row r="18" spans="1:18" x14ac:dyDescent="0.3">
      <c r="A18" s="23" t="s">
        <v>119</v>
      </c>
      <c r="B18" s="23" t="s">
        <v>120</v>
      </c>
      <c r="C18" s="23" t="s">
        <v>95</v>
      </c>
      <c r="D18" s="23" t="s">
        <v>81</v>
      </c>
      <c r="E18" s="28">
        <v>45.43</v>
      </c>
      <c r="F18" s="28">
        <v>70.180000000000007</v>
      </c>
      <c r="G18" s="23">
        <v>210</v>
      </c>
      <c r="H18" s="23">
        <v>128</v>
      </c>
      <c r="I18" s="23">
        <v>339</v>
      </c>
      <c r="J18" s="23">
        <v>6</v>
      </c>
      <c r="K18" s="23" t="s">
        <v>47</v>
      </c>
      <c r="L18" s="23">
        <v>1.4</v>
      </c>
      <c r="M18" s="25">
        <v>46199</v>
      </c>
      <c r="N18" s="26">
        <f t="shared" si="0"/>
        <v>9540.2999999999993</v>
      </c>
      <c r="O18" s="16">
        <f t="shared" si="1"/>
        <v>150</v>
      </c>
      <c r="P18" s="16" t="str">
        <f t="shared" si="2"/>
        <v>OK</v>
      </c>
      <c r="Q18" s="16" t="str">
        <f>IFERROR(INDEX(Suppliers!$B$2:$B$9,MATCH(K18,Suppliers!$A$2:$A$9,0)),"Unknown")</f>
        <v>Northline Materials Co.</v>
      </c>
      <c r="R18" s="16" t="str">
        <f t="shared" si="3"/>
        <v/>
      </c>
    </row>
    <row r="19" spans="1:18" x14ac:dyDescent="0.3">
      <c r="A19" s="23" t="s">
        <v>121</v>
      </c>
      <c r="B19" s="23" t="s">
        <v>122</v>
      </c>
      <c r="C19" s="23" t="s">
        <v>99</v>
      </c>
      <c r="D19" s="23" t="s">
        <v>85</v>
      </c>
      <c r="E19" s="28">
        <v>87.21</v>
      </c>
      <c r="F19" s="28">
        <v>135.94999999999999</v>
      </c>
      <c r="G19" s="23">
        <v>93</v>
      </c>
      <c r="H19" s="23">
        <v>128</v>
      </c>
      <c r="I19" s="23">
        <v>242</v>
      </c>
      <c r="J19" s="23">
        <v>32</v>
      </c>
      <c r="K19" s="23" t="s">
        <v>53</v>
      </c>
      <c r="L19" s="23">
        <v>13.2</v>
      </c>
      <c r="M19" s="25">
        <v>46127</v>
      </c>
      <c r="N19" s="26">
        <f t="shared" si="0"/>
        <v>8110.53</v>
      </c>
      <c r="O19" s="16">
        <f t="shared" si="1"/>
        <v>7.0454545454545459</v>
      </c>
      <c r="P19" s="16" t="str">
        <f t="shared" si="2"/>
        <v>Reorder Now</v>
      </c>
      <c r="Q19" s="16" t="str">
        <f>IFERROR(INDEX(Suppliers!$B$2:$B$9,MATCH(K19,Suppliers!$A$2:$A$9,0)),"Unknown")</f>
        <v>Sterling Hardware Inc.</v>
      </c>
      <c r="R19" s="16">
        <f t="shared" si="3"/>
        <v>7.0456445454545458</v>
      </c>
    </row>
    <row r="20" spans="1:18" x14ac:dyDescent="0.3">
      <c r="A20" s="23" t="s">
        <v>123</v>
      </c>
      <c r="B20" s="23" t="s">
        <v>124</v>
      </c>
      <c r="C20" s="23" t="s">
        <v>80</v>
      </c>
      <c r="D20" s="23" t="s">
        <v>81</v>
      </c>
      <c r="E20" s="28">
        <v>294.16000000000003</v>
      </c>
      <c r="F20" s="28">
        <v>480.21</v>
      </c>
      <c r="G20" s="23">
        <v>47</v>
      </c>
      <c r="H20" s="23">
        <v>23</v>
      </c>
      <c r="I20" s="23">
        <v>485</v>
      </c>
      <c r="J20" s="23">
        <v>18</v>
      </c>
      <c r="K20" s="23" t="s">
        <v>50</v>
      </c>
      <c r="L20" s="23">
        <v>6.4</v>
      </c>
      <c r="M20" s="25">
        <v>46210</v>
      </c>
      <c r="N20" s="26">
        <f t="shared" si="0"/>
        <v>13825.52</v>
      </c>
      <c r="O20" s="16">
        <f t="shared" si="1"/>
        <v>7.34375</v>
      </c>
      <c r="P20" s="16" t="str">
        <f t="shared" si="2"/>
        <v>Low - Watch</v>
      </c>
      <c r="Q20" s="16" t="str">
        <f>IFERROR(INDEX(Suppliers!$B$2:$B$9,MATCH(K20,Suppliers!$A$2:$A$9,0)),"Unknown")</f>
        <v>Global Pack Solutions</v>
      </c>
      <c r="R20" s="16" t="str">
        <f t="shared" si="3"/>
        <v/>
      </c>
    </row>
    <row r="21" spans="1:18" x14ac:dyDescent="0.3">
      <c r="A21" s="23" t="s">
        <v>125</v>
      </c>
      <c r="B21" s="23" t="s">
        <v>126</v>
      </c>
      <c r="C21" s="23" t="s">
        <v>84</v>
      </c>
      <c r="D21" s="23" t="s">
        <v>85</v>
      </c>
      <c r="E21" s="28">
        <v>171.78</v>
      </c>
      <c r="F21" s="28">
        <v>341.54</v>
      </c>
      <c r="G21" s="23">
        <v>232</v>
      </c>
      <c r="H21" s="23">
        <v>87</v>
      </c>
      <c r="I21" s="23">
        <v>246</v>
      </c>
      <c r="J21" s="23">
        <v>30</v>
      </c>
      <c r="K21" s="23" t="s">
        <v>65</v>
      </c>
      <c r="L21" s="23">
        <v>2.7</v>
      </c>
      <c r="M21" s="25">
        <v>46180</v>
      </c>
      <c r="N21" s="26">
        <f t="shared" si="0"/>
        <v>39852.959999999999</v>
      </c>
      <c r="O21" s="16">
        <f t="shared" si="1"/>
        <v>85.925925925925924</v>
      </c>
      <c r="P21" s="16" t="str">
        <f t="shared" si="2"/>
        <v>OK</v>
      </c>
      <c r="Q21" s="16" t="str">
        <f>IFERROR(INDEX(Suppliers!$B$2:$B$9,MATCH(K21,Suppliers!$A$2:$A$9,0)),"Unknown")</f>
        <v>Horizon Machinery Traders</v>
      </c>
      <c r="R21" s="16" t="str">
        <f t="shared" si="3"/>
        <v/>
      </c>
    </row>
    <row r="22" spans="1:18" x14ac:dyDescent="0.3">
      <c r="A22" s="23" t="s">
        <v>127</v>
      </c>
      <c r="B22" s="23" t="s">
        <v>128</v>
      </c>
      <c r="C22" s="23" t="s">
        <v>88</v>
      </c>
      <c r="D22" s="23" t="s">
        <v>81</v>
      </c>
      <c r="E22" s="28">
        <v>337.09</v>
      </c>
      <c r="F22" s="28">
        <v>419.92</v>
      </c>
      <c r="G22" s="23">
        <v>257</v>
      </c>
      <c r="H22" s="23">
        <v>142</v>
      </c>
      <c r="I22" s="23">
        <v>371</v>
      </c>
      <c r="J22" s="23">
        <v>13</v>
      </c>
      <c r="K22" s="23" t="s">
        <v>44</v>
      </c>
      <c r="L22" s="23">
        <v>14.4</v>
      </c>
      <c r="M22" s="25">
        <v>46140</v>
      </c>
      <c r="N22" s="26">
        <f t="shared" si="0"/>
        <v>86632.12999999999</v>
      </c>
      <c r="O22" s="16">
        <f t="shared" si="1"/>
        <v>17.847222222222221</v>
      </c>
      <c r="P22" s="16" t="str">
        <f t="shared" si="2"/>
        <v>OK</v>
      </c>
      <c r="Q22" s="16" t="str">
        <f>IFERROR(INDEX(Suppliers!$B$2:$B$9,MATCH(K22,Suppliers!$A$2:$A$9,0)),"Unknown")</f>
        <v>Apex Components Ltd.</v>
      </c>
      <c r="R22" s="16" t="str">
        <f t="shared" si="3"/>
        <v/>
      </c>
    </row>
    <row r="23" spans="1:18" x14ac:dyDescent="0.3">
      <c r="A23" s="23" t="s">
        <v>129</v>
      </c>
      <c r="B23" s="23" t="s">
        <v>130</v>
      </c>
      <c r="C23" s="23" t="s">
        <v>92</v>
      </c>
      <c r="D23" s="23" t="s">
        <v>81</v>
      </c>
      <c r="E23" s="28">
        <v>304.5</v>
      </c>
      <c r="F23" s="28">
        <v>422.7</v>
      </c>
      <c r="G23" s="23">
        <v>291</v>
      </c>
      <c r="H23" s="23">
        <v>50</v>
      </c>
      <c r="I23" s="23">
        <v>226</v>
      </c>
      <c r="J23" s="23">
        <v>40</v>
      </c>
      <c r="K23" s="23" t="s">
        <v>44</v>
      </c>
      <c r="L23" s="23">
        <v>9.5</v>
      </c>
      <c r="M23" s="25">
        <v>46225</v>
      </c>
      <c r="N23" s="26">
        <f t="shared" si="0"/>
        <v>88609.5</v>
      </c>
      <c r="O23" s="16">
        <f t="shared" si="1"/>
        <v>30.631578947368421</v>
      </c>
      <c r="P23" s="16" t="str">
        <f t="shared" si="2"/>
        <v>OK</v>
      </c>
      <c r="Q23" s="16" t="str">
        <f>IFERROR(INDEX(Suppliers!$B$2:$B$9,MATCH(K23,Suppliers!$A$2:$A$9,0)),"Unknown")</f>
        <v>Apex Components Ltd.</v>
      </c>
      <c r="R23" s="16" t="str">
        <f t="shared" si="3"/>
        <v/>
      </c>
    </row>
    <row r="24" spans="1:18" x14ac:dyDescent="0.3">
      <c r="A24" s="23" t="s">
        <v>131</v>
      </c>
      <c r="B24" s="23" t="s">
        <v>132</v>
      </c>
      <c r="C24" s="23" t="s">
        <v>95</v>
      </c>
      <c r="D24" s="23" t="s">
        <v>96</v>
      </c>
      <c r="E24" s="28">
        <v>420.75</v>
      </c>
      <c r="F24" s="28">
        <v>573.65</v>
      </c>
      <c r="G24" s="23">
        <v>122</v>
      </c>
      <c r="H24" s="23">
        <v>100</v>
      </c>
      <c r="I24" s="23">
        <v>235</v>
      </c>
      <c r="J24" s="23">
        <v>28</v>
      </c>
      <c r="K24" s="23" t="s">
        <v>50</v>
      </c>
      <c r="L24" s="23">
        <v>10.199999999999999</v>
      </c>
      <c r="M24" s="25">
        <v>46188</v>
      </c>
      <c r="N24" s="26">
        <f t="shared" si="0"/>
        <v>51331.5</v>
      </c>
      <c r="O24" s="16">
        <f t="shared" si="1"/>
        <v>11.96078431372549</v>
      </c>
      <c r="P24" s="16" t="str">
        <f t="shared" si="2"/>
        <v>Low - Watch</v>
      </c>
      <c r="Q24" s="16" t="str">
        <f>IFERROR(INDEX(Suppliers!$B$2:$B$9,MATCH(K24,Suppliers!$A$2:$A$9,0)),"Unknown")</f>
        <v>Global Pack Solutions</v>
      </c>
      <c r="R24" s="16" t="str">
        <f t="shared" si="3"/>
        <v/>
      </c>
    </row>
    <row r="25" spans="1:18" x14ac:dyDescent="0.3">
      <c r="A25" s="23" t="s">
        <v>133</v>
      </c>
      <c r="B25" s="23" t="s">
        <v>134</v>
      </c>
      <c r="C25" s="23" t="s">
        <v>99</v>
      </c>
      <c r="D25" s="23" t="s">
        <v>81</v>
      </c>
      <c r="E25" s="28">
        <v>207.31</v>
      </c>
      <c r="F25" s="28">
        <v>414.36</v>
      </c>
      <c r="G25" s="23">
        <v>37</v>
      </c>
      <c r="H25" s="23">
        <v>45</v>
      </c>
      <c r="I25" s="23">
        <v>375</v>
      </c>
      <c r="J25" s="23">
        <v>16</v>
      </c>
      <c r="K25" s="23" t="s">
        <v>56</v>
      </c>
      <c r="L25" s="23">
        <v>2.4</v>
      </c>
      <c r="M25" s="25">
        <v>46176</v>
      </c>
      <c r="N25" s="26">
        <f t="shared" si="0"/>
        <v>7670.47</v>
      </c>
      <c r="O25" s="16">
        <f t="shared" si="1"/>
        <v>15.416666666666668</v>
      </c>
      <c r="P25" s="16" t="str">
        <f t="shared" si="2"/>
        <v>Reorder Now</v>
      </c>
      <c r="Q25" s="16" t="str">
        <f>IFERROR(INDEX(Suppliers!$B$2:$B$9,MATCH(K25,Suppliers!$A$2:$A$9,0)),"Unknown")</f>
        <v>Vertex Industrial Supply</v>
      </c>
      <c r="R25" s="16">
        <f t="shared" si="3"/>
        <v>15.416916666666667</v>
      </c>
    </row>
    <row r="26" spans="1:18" x14ac:dyDescent="0.3">
      <c r="A26" s="23" t="s">
        <v>135</v>
      </c>
      <c r="B26" s="23" t="s">
        <v>136</v>
      </c>
      <c r="C26" s="23" t="s">
        <v>80</v>
      </c>
      <c r="D26" s="23" t="s">
        <v>96</v>
      </c>
      <c r="E26" s="28">
        <v>72.67</v>
      </c>
      <c r="F26" s="28">
        <v>135.66999999999999</v>
      </c>
      <c r="G26" s="23">
        <v>313</v>
      </c>
      <c r="H26" s="23">
        <v>97</v>
      </c>
      <c r="I26" s="23">
        <v>434</v>
      </c>
      <c r="J26" s="23">
        <v>36</v>
      </c>
      <c r="K26" s="23" t="s">
        <v>44</v>
      </c>
      <c r="L26" s="23">
        <v>10.199999999999999</v>
      </c>
      <c r="M26" s="25">
        <v>46244</v>
      </c>
      <c r="N26" s="26">
        <f t="shared" si="0"/>
        <v>22745.71</v>
      </c>
      <c r="O26" s="16">
        <f t="shared" si="1"/>
        <v>30.686274509803923</v>
      </c>
      <c r="P26" s="16" t="str">
        <f t="shared" si="2"/>
        <v>OK</v>
      </c>
      <c r="Q26" s="16" t="str">
        <f>IFERROR(INDEX(Suppliers!$B$2:$B$9,MATCH(K26,Suppliers!$A$2:$A$9,0)),"Unknown")</f>
        <v>Apex Components Ltd.</v>
      </c>
      <c r="R26" s="16" t="str">
        <f t="shared" si="3"/>
        <v/>
      </c>
    </row>
    <row r="27" spans="1:18" x14ac:dyDescent="0.3">
      <c r="A27" s="23" t="s">
        <v>137</v>
      </c>
      <c r="B27" s="23" t="s">
        <v>138</v>
      </c>
      <c r="C27" s="23" t="s">
        <v>84</v>
      </c>
      <c r="D27" s="23" t="s">
        <v>85</v>
      </c>
      <c r="E27" s="28">
        <v>120.48</v>
      </c>
      <c r="F27" s="28">
        <v>230.33</v>
      </c>
      <c r="G27" s="23">
        <v>139</v>
      </c>
      <c r="H27" s="23">
        <v>59</v>
      </c>
      <c r="I27" s="23">
        <v>244</v>
      </c>
      <c r="J27" s="23">
        <v>41</v>
      </c>
      <c r="K27" s="23" t="s">
        <v>53</v>
      </c>
      <c r="L27" s="23">
        <v>10.9</v>
      </c>
      <c r="M27" s="25">
        <v>46164</v>
      </c>
      <c r="N27" s="26">
        <f t="shared" si="0"/>
        <v>16746.72</v>
      </c>
      <c r="O27" s="16">
        <f t="shared" si="1"/>
        <v>12.752293577981652</v>
      </c>
      <c r="P27" s="16" t="str">
        <f t="shared" si="2"/>
        <v>Low - Watch</v>
      </c>
      <c r="Q27" s="16" t="str">
        <f>IFERROR(INDEX(Suppliers!$B$2:$B$9,MATCH(K27,Suppliers!$A$2:$A$9,0)),"Unknown")</f>
        <v>Sterling Hardware Inc.</v>
      </c>
      <c r="R27" s="16" t="str">
        <f t="shared" si="3"/>
        <v/>
      </c>
    </row>
    <row r="28" spans="1:18" x14ac:dyDescent="0.3">
      <c r="A28" s="23" t="s">
        <v>139</v>
      </c>
      <c r="B28" s="23" t="s">
        <v>140</v>
      </c>
      <c r="C28" s="23" t="s">
        <v>88</v>
      </c>
      <c r="D28" s="23" t="s">
        <v>89</v>
      </c>
      <c r="E28" s="28">
        <v>114.5</v>
      </c>
      <c r="F28" s="28">
        <v>220.59</v>
      </c>
      <c r="G28" s="23">
        <v>47</v>
      </c>
      <c r="H28" s="23">
        <v>33</v>
      </c>
      <c r="I28" s="23">
        <v>424</v>
      </c>
      <c r="J28" s="23">
        <v>30</v>
      </c>
      <c r="K28" s="23" t="s">
        <v>56</v>
      </c>
      <c r="L28" s="23">
        <v>1.1000000000000001</v>
      </c>
      <c r="M28" s="25">
        <v>46198</v>
      </c>
      <c r="N28" s="26">
        <f t="shared" si="0"/>
        <v>5381.5</v>
      </c>
      <c r="O28" s="16">
        <f t="shared" si="1"/>
        <v>42.727272727272727</v>
      </c>
      <c r="P28" s="16" t="str">
        <f t="shared" si="2"/>
        <v>OK</v>
      </c>
      <c r="Q28" s="16" t="str">
        <f>IFERROR(INDEX(Suppliers!$B$2:$B$9,MATCH(K28,Suppliers!$A$2:$A$9,0)),"Unknown")</f>
        <v>Vertex Industrial Supply</v>
      </c>
      <c r="R28" s="16" t="str">
        <f t="shared" si="3"/>
        <v/>
      </c>
    </row>
    <row r="29" spans="1:18" x14ac:dyDescent="0.3">
      <c r="A29" s="23" t="s">
        <v>141</v>
      </c>
      <c r="B29" s="23" t="s">
        <v>142</v>
      </c>
      <c r="C29" s="23" t="s">
        <v>92</v>
      </c>
      <c r="D29" s="23" t="s">
        <v>96</v>
      </c>
      <c r="E29" s="28">
        <v>74.39</v>
      </c>
      <c r="F29" s="28">
        <v>115.56</v>
      </c>
      <c r="G29" s="23">
        <v>287</v>
      </c>
      <c r="H29" s="23">
        <v>129</v>
      </c>
      <c r="I29" s="23">
        <v>104</v>
      </c>
      <c r="J29" s="23">
        <v>10</v>
      </c>
      <c r="K29" s="23" t="s">
        <v>47</v>
      </c>
      <c r="L29" s="23">
        <v>14.2</v>
      </c>
      <c r="M29" s="25">
        <v>46160</v>
      </c>
      <c r="N29" s="26">
        <f t="shared" si="0"/>
        <v>21349.93</v>
      </c>
      <c r="O29" s="16">
        <f t="shared" si="1"/>
        <v>20.211267605633804</v>
      </c>
      <c r="P29" s="16" t="str">
        <f t="shared" si="2"/>
        <v>OK</v>
      </c>
      <c r="Q29" s="16" t="str">
        <f>IFERROR(INDEX(Suppliers!$B$2:$B$9,MATCH(K29,Suppliers!$A$2:$A$9,0)),"Unknown")</f>
        <v>Northline Materials Co.</v>
      </c>
      <c r="R29" s="16" t="str">
        <f t="shared" si="3"/>
        <v/>
      </c>
    </row>
    <row r="30" spans="1:18" x14ac:dyDescent="0.3">
      <c r="A30" s="23" t="s">
        <v>143</v>
      </c>
      <c r="B30" s="23" t="s">
        <v>144</v>
      </c>
      <c r="C30" s="23" t="s">
        <v>95</v>
      </c>
      <c r="D30" s="23" t="s">
        <v>85</v>
      </c>
      <c r="E30" s="28">
        <v>194.54</v>
      </c>
      <c r="F30" s="28">
        <v>239.96</v>
      </c>
      <c r="G30" s="23">
        <v>20</v>
      </c>
      <c r="H30" s="23">
        <v>113</v>
      </c>
      <c r="I30" s="23">
        <v>283</v>
      </c>
      <c r="J30" s="23">
        <v>16</v>
      </c>
      <c r="K30" s="23" t="s">
        <v>53</v>
      </c>
      <c r="L30" s="23">
        <v>10.199999999999999</v>
      </c>
      <c r="M30" s="25">
        <v>46198</v>
      </c>
      <c r="N30" s="26">
        <f t="shared" si="0"/>
        <v>3890.7999999999997</v>
      </c>
      <c r="O30" s="16">
        <f t="shared" si="1"/>
        <v>1.9607843137254903</v>
      </c>
      <c r="P30" s="16" t="str">
        <f t="shared" si="2"/>
        <v>Reorder Now</v>
      </c>
      <c r="Q30" s="16" t="str">
        <f>IFERROR(INDEX(Suppliers!$B$2:$B$9,MATCH(K30,Suppliers!$A$2:$A$9,0)),"Unknown")</f>
        <v>Sterling Hardware Inc.</v>
      </c>
      <c r="R30" s="16">
        <f t="shared" si="3"/>
        <v>1.9610843137254903</v>
      </c>
    </row>
    <row r="31" spans="1:18" x14ac:dyDescent="0.3">
      <c r="A31" s="23" t="s">
        <v>145</v>
      </c>
      <c r="B31" s="23" t="s">
        <v>146</v>
      </c>
      <c r="C31" s="23" t="s">
        <v>99</v>
      </c>
      <c r="D31" s="23" t="s">
        <v>85</v>
      </c>
      <c r="E31" s="28">
        <v>416.74</v>
      </c>
      <c r="F31" s="28">
        <v>579.01</v>
      </c>
      <c r="G31" s="23">
        <v>90</v>
      </c>
      <c r="H31" s="23">
        <v>61</v>
      </c>
      <c r="I31" s="23">
        <v>311</v>
      </c>
      <c r="J31" s="23">
        <v>4</v>
      </c>
      <c r="K31" s="23" t="s">
        <v>50</v>
      </c>
      <c r="L31" s="23">
        <v>11.2</v>
      </c>
      <c r="M31" s="25">
        <v>46199</v>
      </c>
      <c r="N31" s="26">
        <f t="shared" si="0"/>
        <v>37506.6</v>
      </c>
      <c r="O31" s="16">
        <f t="shared" si="1"/>
        <v>8.0357142857142865</v>
      </c>
      <c r="P31" s="16" t="str">
        <f t="shared" si="2"/>
        <v>Low - Watch</v>
      </c>
      <c r="Q31" s="16" t="str">
        <f>IFERROR(INDEX(Suppliers!$B$2:$B$9,MATCH(K31,Suppliers!$A$2:$A$9,0)),"Unknown")</f>
        <v>Global Pack Solutions</v>
      </c>
      <c r="R31" s="16" t="str">
        <f t="shared" si="3"/>
        <v/>
      </c>
    </row>
    <row r="32" spans="1:18" x14ac:dyDescent="0.3">
      <c r="A32" s="23" t="s">
        <v>147</v>
      </c>
      <c r="B32" s="23" t="s">
        <v>148</v>
      </c>
      <c r="C32" s="23" t="s">
        <v>80</v>
      </c>
      <c r="D32" s="23" t="s">
        <v>85</v>
      </c>
      <c r="E32" s="28">
        <v>121.53</v>
      </c>
      <c r="F32" s="28">
        <v>222.39</v>
      </c>
      <c r="G32" s="23">
        <v>195</v>
      </c>
      <c r="H32" s="23">
        <v>47</v>
      </c>
      <c r="I32" s="23">
        <v>119</v>
      </c>
      <c r="J32" s="23">
        <v>33</v>
      </c>
      <c r="K32" s="23" t="s">
        <v>53</v>
      </c>
      <c r="L32" s="23">
        <v>3.4</v>
      </c>
      <c r="M32" s="25">
        <v>46215</v>
      </c>
      <c r="N32" s="26">
        <f t="shared" si="0"/>
        <v>23698.35</v>
      </c>
      <c r="O32" s="16">
        <f t="shared" si="1"/>
        <v>57.352941176470587</v>
      </c>
      <c r="P32" s="16" t="str">
        <f t="shared" si="2"/>
        <v>OK</v>
      </c>
      <c r="Q32" s="16" t="str">
        <f>IFERROR(INDEX(Suppliers!$B$2:$B$9,MATCH(K32,Suppliers!$A$2:$A$9,0)),"Unknown")</f>
        <v>Sterling Hardware Inc.</v>
      </c>
      <c r="R32" s="16" t="str">
        <f t="shared" si="3"/>
        <v/>
      </c>
    </row>
    <row r="33" spans="1:18" x14ac:dyDescent="0.3">
      <c r="A33" s="23" t="s">
        <v>149</v>
      </c>
      <c r="B33" s="23" t="s">
        <v>103</v>
      </c>
      <c r="C33" s="23" t="s">
        <v>84</v>
      </c>
      <c r="D33" s="23" t="s">
        <v>85</v>
      </c>
      <c r="E33" s="28">
        <v>12.6</v>
      </c>
      <c r="F33" s="28">
        <v>17.07</v>
      </c>
      <c r="G33" s="23">
        <v>142</v>
      </c>
      <c r="H33" s="23">
        <v>104</v>
      </c>
      <c r="I33" s="23">
        <v>135</v>
      </c>
      <c r="J33" s="23">
        <v>20</v>
      </c>
      <c r="K33" s="23" t="s">
        <v>59</v>
      </c>
      <c r="L33" s="23">
        <v>9.8000000000000007</v>
      </c>
      <c r="M33" s="25">
        <v>46225</v>
      </c>
      <c r="N33" s="26">
        <f t="shared" si="0"/>
        <v>1789.2</v>
      </c>
      <c r="O33" s="16">
        <f t="shared" si="1"/>
        <v>14.489795918367346</v>
      </c>
      <c r="P33" s="16" t="str">
        <f t="shared" si="2"/>
        <v>OK</v>
      </c>
      <c r="Q33" s="16" t="str">
        <f>IFERROR(INDEX(Suppliers!$B$2:$B$9,MATCH(K33,Suppliers!$A$2:$A$9,0)),"Unknown")</f>
        <v>Meridian Parts Group</v>
      </c>
      <c r="R33" s="16" t="str">
        <f t="shared" si="3"/>
        <v/>
      </c>
    </row>
    <row r="34" spans="1:18" x14ac:dyDescent="0.3">
      <c r="A34" s="23" t="s">
        <v>150</v>
      </c>
      <c r="B34" s="23" t="s">
        <v>151</v>
      </c>
      <c r="C34" s="23" t="s">
        <v>88</v>
      </c>
      <c r="D34" s="23" t="s">
        <v>81</v>
      </c>
      <c r="E34" s="28">
        <v>53.67</v>
      </c>
      <c r="F34" s="28">
        <v>106.07</v>
      </c>
      <c r="G34" s="23">
        <v>297</v>
      </c>
      <c r="H34" s="23">
        <v>65</v>
      </c>
      <c r="I34" s="23">
        <v>235</v>
      </c>
      <c r="J34" s="23">
        <v>5</v>
      </c>
      <c r="K34" s="23" t="s">
        <v>47</v>
      </c>
      <c r="L34" s="23">
        <v>9.1999999999999993</v>
      </c>
      <c r="M34" s="25">
        <v>46197</v>
      </c>
      <c r="N34" s="26">
        <f t="shared" si="0"/>
        <v>15939.99</v>
      </c>
      <c r="O34" s="16">
        <f t="shared" si="1"/>
        <v>32.282608695652179</v>
      </c>
      <c r="P34" s="16" t="str">
        <f t="shared" si="2"/>
        <v>OK</v>
      </c>
      <c r="Q34" s="16" t="str">
        <f>IFERROR(INDEX(Suppliers!$B$2:$B$9,MATCH(K34,Suppliers!$A$2:$A$9,0)),"Unknown")</f>
        <v>Northline Materials Co.</v>
      </c>
      <c r="R34" s="16" t="str">
        <f t="shared" si="3"/>
        <v/>
      </c>
    </row>
    <row r="35" spans="1:18" x14ac:dyDescent="0.3">
      <c r="A35" s="23" t="s">
        <v>152</v>
      </c>
      <c r="B35" s="23" t="s">
        <v>153</v>
      </c>
      <c r="C35" s="23" t="s">
        <v>92</v>
      </c>
      <c r="D35" s="23" t="s">
        <v>81</v>
      </c>
      <c r="E35" s="28">
        <v>174.57</v>
      </c>
      <c r="F35" s="28">
        <v>290.01</v>
      </c>
      <c r="G35" s="23">
        <v>22</v>
      </c>
      <c r="H35" s="23">
        <v>85</v>
      </c>
      <c r="I35" s="23">
        <v>462</v>
      </c>
      <c r="J35" s="23">
        <v>30</v>
      </c>
      <c r="K35" s="23" t="s">
        <v>44</v>
      </c>
      <c r="L35" s="23">
        <v>8</v>
      </c>
      <c r="M35" s="25">
        <v>46256</v>
      </c>
      <c r="N35" s="26">
        <f t="shared" si="0"/>
        <v>3840.54</v>
      </c>
      <c r="O35" s="16">
        <f t="shared" si="1"/>
        <v>2.75</v>
      </c>
      <c r="P35" s="16" t="str">
        <f t="shared" si="2"/>
        <v>Reorder Now</v>
      </c>
      <c r="Q35" s="16" t="str">
        <f>IFERROR(INDEX(Suppliers!$B$2:$B$9,MATCH(K35,Suppliers!$A$2:$A$9,0)),"Unknown")</f>
        <v>Apex Components Ltd.</v>
      </c>
      <c r="R35" s="16">
        <f t="shared" si="3"/>
        <v>2.7503500000000001</v>
      </c>
    </row>
    <row r="36" spans="1:18" x14ac:dyDescent="0.3">
      <c r="A36" s="23" t="s">
        <v>154</v>
      </c>
      <c r="B36" s="23" t="s">
        <v>155</v>
      </c>
      <c r="C36" s="23" t="s">
        <v>95</v>
      </c>
      <c r="D36" s="23" t="s">
        <v>85</v>
      </c>
      <c r="E36" s="28">
        <v>165.17</v>
      </c>
      <c r="F36" s="28">
        <v>207.45</v>
      </c>
      <c r="G36" s="23">
        <v>319</v>
      </c>
      <c r="H36" s="23">
        <v>104</v>
      </c>
      <c r="I36" s="23">
        <v>260</v>
      </c>
      <c r="J36" s="23">
        <v>45</v>
      </c>
      <c r="K36" s="23" t="s">
        <v>47</v>
      </c>
      <c r="L36" s="23">
        <v>10.9</v>
      </c>
      <c r="M36" s="25">
        <v>46190</v>
      </c>
      <c r="N36" s="26">
        <f t="shared" si="0"/>
        <v>52689.229999999996</v>
      </c>
      <c r="O36" s="16">
        <f t="shared" si="1"/>
        <v>29.266055045871557</v>
      </c>
      <c r="P36" s="16" t="str">
        <f t="shared" si="2"/>
        <v>OK</v>
      </c>
      <c r="Q36" s="16" t="str">
        <f>IFERROR(INDEX(Suppliers!$B$2:$B$9,MATCH(K36,Suppliers!$A$2:$A$9,0)),"Unknown")</f>
        <v>Northline Materials Co.</v>
      </c>
      <c r="R36" s="16" t="str">
        <f t="shared" si="3"/>
        <v/>
      </c>
    </row>
    <row r="37" spans="1:18" x14ac:dyDescent="0.3">
      <c r="A37" s="23" t="s">
        <v>156</v>
      </c>
      <c r="B37" s="23" t="s">
        <v>157</v>
      </c>
      <c r="C37" s="23" t="s">
        <v>99</v>
      </c>
      <c r="D37" s="23" t="s">
        <v>89</v>
      </c>
      <c r="E37" s="28">
        <v>148.13</v>
      </c>
      <c r="F37" s="28">
        <v>260.38</v>
      </c>
      <c r="G37" s="23">
        <v>98</v>
      </c>
      <c r="H37" s="23">
        <v>52</v>
      </c>
      <c r="I37" s="23">
        <v>315</v>
      </c>
      <c r="J37" s="23">
        <v>45</v>
      </c>
      <c r="K37" s="23" t="s">
        <v>62</v>
      </c>
      <c r="L37" s="23">
        <v>10.3</v>
      </c>
      <c r="M37" s="25">
        <v>46162</v>
      </c>
      <c r="N37" s="26">
        <f t="shared" si="0"/>
        <v>14516.74</v>
      </c>
      <c r="O37" s="16">
        <f t="shared" si="1"/>
        <v>9.5145631067961158</v>
      </c>
      <c r="P37" s="16" t="str">
        <f t="shared" si="2"/>
        <v>Low - Watch</v>
      </c>
      <c r="Q37" s="16" t="str">
        <f>IFERROR(INDEX(Suppliers!$B$2:$B$9,MATCH(K37,Suppliers!$A$2:$A$9,0)),"Unknown")</f>
        <v>Prime Consumables Corp.</v>
      </c>
      <c r="R37" s="16" t="str">
        <f t="shared" si="3"/>
        <v/>
      </c>
    </row>
    <row r="38" spans="1:18" x14ac:dyDescent="0.3">
      <c r="A38" s="23" t="s">
        <v>158</v>
      </c>
      <c r="B38" s="23" t="s">
        <v>159</v>
      </c>
      <c r="C38" s="23" t="s">
        <v>80</v>
      </c>
      <c r="D38" s="23" t="s">
        <v>89</v>
      </c>
      <c r="E38" s="28">
        <v>247.48</v>
      </c>
      <c r="F38" s="28">
        <v>297.06</v>
      </c>
      <c r="G38" s="23">
        <v>107</v>
      </c>
      <c r="H38" s="23">
        <v>93</v>
      </c>
      <c r="I38" s="23">
        <v>320</v>
      </c>
      <c r="J38" s="23">
        <v>40</v>
      </c>
      <c r="K38" s="23" t="s">
        <v>59</v>
      </c>
      <c r="L38" s="23">
        <v>7.2</v>
      </c>
      <c r="M38" s="25">
        <v>46225</v>
      </c>
      <c r="N38" s="26">
        <f t="shared" si="0"/>
        <v>26480.36</v>
      </c>
      <c r="O38" s="16">
        <f t="shared" si="1"/>
        <v>14.861111111111111</v>
      </c>
      <c r="P38" s="16" t="str">
        <f t="shared" si="2"/>
        <v>OK</v>
      </c>
      <c r="Q38" s="16" t="str">
        <f>IFERROR(INDEX(Suppliers!$B$2:$B$9,MATCH(K38,Suppliers!$A$2:$A$9,0)),"Unknown")</f>
        <v>Meridian Parts Group</v>
      </c>
      <c r="R38" s="16" t="str">
        <f t="shared" si="3"/>
        <v/>
      </c>
    </row>
    <row r="39" spans="1:18" x14ac:dyDescent="0.3">
      <c r="A39" s="23" t="s">
        <v>160</v>
      </c>
      <c r="B39" s="23" t="s">
        <v>161</v>
      </c>
      <c r="C39" s="23" t="s">
        <v>84</v>
      </c>
      <c r="D39" s="23" t="s">
        <v>89</v>
      </c>
      <c r="E39" s="28">
        <v>357.59</v>
      </c>
      <c r="F39" s="28">
        <v>703.69</v>
      </c>
      <c r="G39" s="23">
        <v>337</v>
      </c>
      <c r="H39" s="23">
        <v>63</v>
      </c>
      <c r="I39" s="23">
        <v>143</v>
      </c>
      <c r="J39" s="23">
        <v>21</v>
      </c>
      <c r="K39" s="23" t="s">
        <v>59</v>
      </c>
      <c r="L39" s="23">
        <v>1.9</v>
      </c>
      <c r="M39" s="25">
        <v>46164</v>
      </c>
      <c r="N39" s="26">
        <f t="shared" si="0"/>
        <v>120507.82999999999</v>
      </c>
      <c r="O39" s="16">
        <f t="shared" si="1"/>
        <v>177.36842105263159</v>
      </c>
      <c r="P39" s="16" t="str">
        <f t="shared" si="2"/>
        <v>OK</v>
      </c>
      <c r="Q39" s="16" t="str">
        <f>IFERROR(INDEX(Suppliers!$B$2:$B$9,MATCH(K39,Suppliers!$A$2:$A$9,0)),"Unknown")</f>
        <v>Meridian Parts Group</v>
      </c>
      <c r="R39" s="16" t="str">
        <f t="shared" si="3"/>
        <v/>
      </c>
    </row>
    <row r="40" spans="1:18" x14ac:dyDescent="0.3">
      <c r="A40" s="23" t="s">
        <v>162</v>
      </c>
      <c r="B40" s="23" t="s">
        <v>163</v>
      </c>
      <c r="C40" s="23" t="s">
        <v>88</v>
      </c>
      <c r="D40" s="23" t="s">
        <v>85</v>
      </c>
      <c r="E40" s="28">
        <v>68.010000000000005</v>
      </c>
      <c r="F40" s="28">
        <v>84.13</v>
      </c>
      <c r="G40" s="23">
        <v>312</v>
      </c>
      <c r="H40" s="23">
        <v>141</v>
      </c>
      <c r="I40" s="23">
        <v>493</v>
      </c>
      <c r="J40" s="23">
        <v>7</v>
      </c>
      <c r="K40" s="23" t="s">
        <v>65</v>
      </c>
      <c r="L40" s="23">
        <v>6.5</v>
      </c>
      <c r="M40" s="25">
        <v>46241</v>
      </c>
      <c r="N40" s="26">
        <f t="shared" si="0"/>
        <v>21219.120000000003</v>
      </c>
      <c r="O40" s="16">
        <f t="shared" si="1"/>
        <v>48</v>
      </c>
      <c r="P40" s="16" t="str">
        <f t="shared" si="2"/>
        <v>OK</v>
      </c>
      <c r="Q40" s="16" t="str">
        <f>IFERROR(INDEX(Suppliers!$B$2:$B$9,MATCH(K40,Suppliers!$A$2:$A$9,0)),"Unknown")</f>
        <v>Horizon Machinery Traders</v>
      </c>
      <c r="R40" s="16" t="str">
        <f t="shared" si="3"/>
        <v/>
      </c>
    </row>
    <row r="41" spans="1:18" x14ac:dyDescent="0.3">
      <c r="A41" s="23" t="s">
        <v>164</v>
      </c>
      <c r="B41" s="23" t="s">
        <v>165</v>
      </c>
      <c r="C41" s="23" t="s">
        <v>92</v>
      </c>
      <c r="D41" s="23" t="s">
        <v>89</v>
      </c>
      <c r="E41" s="28">
        <v>223.48</v>
      </c>
      <c r="F41" s="28">
        <v>311.8</v>
      </c>
      <c r="G41" s="23">
        <v>384</v>
      </c>
      <c r="H41" s="23">
        <v>21</v>
      </c>
      <c r="I41" s="23">
        <v>494</v>
      </c>
      <c r="J41" s="23">
        <v>9</v>
      </c>
      <c r="K41" s="23" t="s">
        <v>62</v>
      </c>
      <c r="L41" s="23">
        <v>3.7</v>
      </c>
      <c r="M41" s="25">
        <v>46249</v>
      </c>
      <c r="N41" s="26">
        <f t="shared" si="0"/>
        <v>85816.319999999992</v>
      </c>
      <c r="O41" s="16">
        <f t="shared" si="1"/>
        <v>103.78378378378378</v>
      </c>
      <c r="P41" s="16" t="str">
        <f t="shared" si="2"/>
        <v>OK</v>
      </c>
      <c r="Q41" s="16" t="str">
        <f>IFERROR(INDEX(Suppliers!$B$2:$B$9,MATCH(K41,Suppliers!$A$2:$A$9,0)),"Unknown")</f>
        <v>Prime Consumables Corp.</v>
      </c>
      <c r="R41" s="16" t="str">
        <f t="shared" si="3"/>
        <v/>
      </c>
    </row>
    <row r="42" spans="1:18" x14ac:dyDescent="0.3">
      <c r="A42" s="23" t="s">
        <v>166</v>
      </c>
      <c r="B42" s="23" t="s">
        <v>167</v>
      </c>
      <c r="C42" s="23" t="s">
        <v>95</v>
      </c>
      <c r="D42" s="23" t="s">
        <v>85</v>
      </c>
      <c r="E42" s="28">
        <v>413.03</v>
      </c>
      <c r="F42" s="28">
        <v>535.74</v>
      </c>
      <c r="G42" s="23">
        <v>237</v>
      </c>
      <c r="H42" s="23">
        <v>54</v>
      </c>
      <c r="I42" s="23">
        <v>441</v>
      </c>
      <c r="J42" s="23">
        <v>36</v>
      </c>
      <c r="K42" s="23" t="s">
        <v>59</v>
      </c>
      <c r="L42" s="23">
        <v>14.3</v>
      </c>
      <c r="M42" s="25">
        <v>46223</v>
      </c>
      <c r="N42" s="26">
        <f t="shared" si="0"/>
        <v>97888.11</v>
      </c>
      <c r="O42" s="16">
        <f t="shared" si="1"/>
        <v>16.573426573426573</v>
      </c>
      <c r="P42" s="16" t="str">
        <f t="shared" si="2"/>
        <v>OK</v>
      </c>
      <c r="Q42" s="16" t="str">
        <f>IFERROR(INDEX(Suppliers!$B$2:$B$9,MATCH(K42,Suppliers!$A$2:$A$9,0)),"Unknown")</f>
        <v>Meridian Parts Group</v>
      </c>
      <c r="R42" s="16" t="str">
        <f t="shared" si="3"/>
        <v/>
      </c>
    </row>
    <row r="43" spans="1:18" x14ac:dyDescent="0.3">
      <c r="A43" s="23" t="s">
        <v>168</v>
      </c>
      <c r="B43" s="23" t="s">
        <v>169</v>
      </c>
      <c r="C43" s="23" t="s">
        <v>99</v>
      </c>
      <c r="D43" s="23" t="s">
        <v>89</v>
      </c>
      <c r="E43" s="28">
        <v>374.09</v>
      </c>
      <c r="F43" s="28">
        <v>612.87</v>
      </c>
      <c r="G43" s="23">
        <v>380</v>
      </c>
      <c r="H43" s="23">
        <v>60</v>
      </c>
      <c r="I43" s="23">
        <v>343</v>
      </c>
      <c r="J43" s="23">
        <v>31</v>
      </c>
      <c r="K43" s="23" t="s">
        <v>56</v>
      </c>
      <c r="L43" s="23">
        <v>11.4</v>
      </c>
      <c r="M43" s="25">
        <v>46198</v>
      </c>
      <c r="N43" s="26">
        <f t="shared" si="0"/>
        <v>142154.19999999998</v>
      </c>
      <c r="O43" s="16">
        <f t="shared" si="1"/>
        <v>33.333333333333336</v>
      </c>
      <c r="P43" s="16" t="str">
        <f t="shared" si="2"/>
        <v>OK</v>
      </c>
      <c r="Q43" s="16" t="str">
        <f>IFERROR(INDEX(Suppliers!$B$2:$B$9,MATCH(K43,Suppliers!$A$2:$A$9,0)),"Unknown")</f>
        <v>Vertex Industrial Supply</v>
      </c>
      <c r="R43" s="16" t="str">
        <f t="shared" si="3"/>
        <v/>
      </c>
    </row>
    <row r="44" spans="1:18" x14ac:dyDescent="0.3">
      <c r="A44" s="23" t="s">
        <v>170</v>
      </c>
      <c r="B44" s="23" t="s">
        <v>171</v>
      </c>
      <c r="C44" s="23" t="s">
        <v>80</v>
      </c>
      <c r="D44" s="23" t="s">
        <v>85</v>
      </c>
      <c r="E44" s="28">
        <v>125.02</v>
      </c>
      <c r="F44" s="28">
        <v>157.77000000000001</v>
      </c>
      <c r="G44" s="23">
        <v>120</v>
      </c>
      <c r="H44" s="23">
        <v>93</v>
      </c>
      <c r="I44" s="23">
        <v>239</v>
      </c>
      <c r="J44" s="23">
        <v>24</v>
      </c>
      <c r="K44" s="23" t="s">
        <v>59</v>
      </c>
      <c r="L44" s="23">
        <v>13.4</v>
      </c>
      <c r="M44" s="25">
        <v>46117</v>
      </c>
      <c r="N44" s="26">
        <f t="shared" si="0"/>
        <v>15002.4</v>
      </c>
      <c r="O44" s="16">
        <f t="shared" si="1"/>
        <v>8.9552238805970141</v>
      </c>
      <c r="P44" s="16" t="str">
        <f t="shared" si="2"/>
        <v>Low - Watch</v>
      </c>
      <c r="Q44" s="16" t="str">
        <f>IFERROR(INDEX(Suppliers!$B$2:$B$9,MATCH(K44,Suppliers!$A$2:$A$9,0)),"Unknown")</f>
        <v>Meridian Parts Group</v>
      </c>
      <c r="R44" s="16" t="str">
        <f t="shared" si="3"/>
        <v/>
      </c>
    </row>
    <row r="45" spans="1:18" x14ac:dyDescent="0.3">
      <c r="A45" s="23" t="s">
        <v>172</v>
      </c>
      <c r="B45" s="23" t="s">
        <v>114</v>
      </c>
      <c r="C45" s="23" t="s">
        <v>84</v>
      </c>
      <c r="D45" s="23" t="s">
        <v>89</v>
      </c>
      <c r="E45" s="28">
        <v>312.89</v>
      </c>
      <c r="F45" s="28">
        <v>552.29</v>
      </c>
      <c r="G45" s="23">
        <v>212</v>
      </c>
      <c r="H45" s="23">
        <v>36</v>
      </c>
      <c r="I45" s="23">
        <v>308</v>
      </c>
      <c r="J45" s="23">
        <v>24</v>
      </c>
      <c r="K45" s="23" t="s">
        <v>65</v>
      </c>
      <c r="L45" s="23">
        <v>6.5</v>
      </c>
      <c r="M45" s="25">
        <v>46169</v>
      </c>
      <c r="N45" s="26">
        <f t="shared" si="0"/>
        <v>66332.679999999993</v>
      </c>
      <c r="O45" s="16">
        <f t="shared" si="1"/>
        <v>32.615384615384613</v>
      </c>
      <c r="P45" s="16" t="str">
        <f t="shared" si="2"/>
        <v>OK</v>
      </c>
      <c r="Q45" s="16" t="str">
        <f>IFERROR(INDEX(Suppliers!$B$2:$B$9,MATCH(K45,Suppliers!$A$2:$A$9,0)),"Unknown")</f>
        <v>Horizon Machinery Traders</v>
      </c>
      <c r="R45" s="16" t="str">
        <f t="shared" si="3"/>
        <v/>
      </c>
    </row>
    <row r="46" spans="1:18" x14ac:dyDescent="0.3">
      <c r="A46" s="23" t="s">
        <v>173</v>
      </c>
      <c r="B46" s="23" t="s">
        <v>174</v>
      </c>
      <c r="C46" s="23" t="s">
        <v>88</v>
      </c>
      <c r="D46" s="23" t="s">
        <v>81</v>
      </c>
      <c r="E46" s="28">
        <v>385.82</v>
      </c>
      <c r="F46" s="28">
        <v>699.29</v>
      </c>
      <c r="G46" s="23">
        <v>244</v>
      </c>
      <c r="H46" s="23">
        <v>117</v>
      </c>
      <c r="I46" s="23">
        <v>103</v>
      </c>
      <c r="J46" s="23">
        <v>25</v>
      </c>
      <c r="K46" s="23" t="s">
        <v>56</v>
      </c>
      <c r="L46" s="23">
        <v>11.4</v>
      </c>
      <c r="M46" s="25">
        <v>46221</v>
      </c>
      <c r="N46" s="26">
        <f t="shared" si="0"/>
        <v>94140.08</v>
      </c>
      <c r="O46" s="16">
        <f t="shared" si="1"/>
        <v>21.403508771929825</v>
      </c>
      <c r="P46" s="16" t="str">
        <f t="shared" si="2"/>
        <v>OK</v>
      </c>
      <c r="Q46" s="16" t="str">
        <f>IFERROR(INDEX(Suppliers!$B$2:$B$9,MATCH(K46,Suppliers!$A$2:$A$9,0)),"Unknown")</f>
        <v>Vertex Industrial Supply</v>
      </c>
      <c r="R46" s="16" t="str">
        <f t="shared" si="3"/>
        <v/>
      </c>
    </row>
    <row r="47" spans="1:18" x14ac:dyDescent="0.3">
      <c r="A47" s="23" t="s">
        <v>175</v>
      </c>
      <c r="B47" s="23" t="s">
        <v>165</v>
      </c>
      <c r="C47" s="23" t="s">
        <v>92</v>
      </c>
      <c r="D47" s="23" t="s">
        <v>85</v>
      </c>
      <c r="E47" s="28">
        <v>220.73</v>
      </c>
      <c r="F47" s="28">
        <v>313.07</v>
      </c>
      <c r="G47" s="23">
        <v>14</v>
      </c>
      <c r="H47" s="23">
        <v>144</v>
      </c>
      <c r="I47" s="23">
        <v>299</v>
      </c>
      <c r="J47" s="23">
        <v>24</v>
      </c>
      <c r="K47" s="23" t="s">
        <v>62</v>
      </c>
      <c r="L47" s="23">
        <v>11</v>
      </c>
      <c r="M47" s="25">
        <v>46208</v>
      </c>
      <c r="N47" s="26">
        <f t="shared" si="0"/>
        <v>3090.22</v>
      </c>
      <c r="O47" s="16">
        <f t="shared" si="1"/>
        <v>1.2727272727272727</v>
      </c>
      <c r="P47" s="16" t="str">
        <f t="shared" si="2"/>
        <v>Reorder Now</v>
      </c>
      <c r="Q47" s="16" t="str">
        <f>IFERROR(INDEX(Suppliers!$B$2:$B$9,MATCH(K47,Suppliers!$A$2:$A$9,0)),"Unknown")</f>
        <v>Prime Consumables Corp.</v>
      </c>
      <c r="R47" s="16">
        <f t="shared" si="3"/>
        <v>1.2731972727272727</v>
      </c>
    </row>
    <row r="48" spans="1:18" x14ac:dyDescent="0.3">
      <c r="A48" s="23" t="s">
        <v>176</v>
      </c>
      <c r="B48" s="23" t="s">
        <v>132</v>
      </c>
      <c r="C48" s="23" t="s">
        <v>95</v>
      </c>
      <c r="D48" s="23" t="s">
        <v>81</v>
      </c>
      <c r="E48" s="28">
        <v>408.3</v>
      </c>
      <c r="F48" s="28">
        <v>683.3</v>
      </c>
      <c r="G48" s="23">
        <v>42</v>
      </c>
      <c r="H48" s="23">
        <v>26</v>
      </c>
      <c r="I48" s="23">
        <v>429</v>
      </c>
      <c r="J48" s="23">
        <v>30</v>
      </c>
      <c r="K48" s="23" t="s">
        <v>50</v>
      </c>
      <c r="L48" s="23">
        <v>13.1</v>
      </c>
      <c r="M48" s="25">
        <v>46144</v>
      </c>
      <c r="N48" s="26">
        <f t="shared" si="0"/>
        <v>17148.600000000002</v>
      </c>
      <c r="O48" s="16">
        <f t="shared" si="1"/>
        <v>3.2061068702290076</v>
      </c>
      <c r="P48" s="16" t="str">
        <f t="shared" si="2"/>
        <v>Low - Watch</v>
      </c>
      <c r="Q48" s="16" t="str">
        <f>IFERROR(INDEX(Suppliers!$B$2:$B$9,MATCH(K48,Suppliers!$A$2:$A$9,0)),"Unknown")</f>
        <v>Global Pack Solutions</v>
      </c>
      <c r="R48" s="16" t="str">
        <f t="shared" si="3"/>
        <v/>
      </c>
    </row>
    <row r="49" spans="1:18" x14ac:dyDescent="0.3">
      <c r="A49" s="23" t="s">
        <v>177</v>
      </c>
      <c r="B49" s="23" t="s">
        <v>178</v>
      </c>
      <c r="C49" s="23" t="s">
        <v>99</v>
      </c>
      <c r="D49" s="23" t="s">
        <v>96</v>
      </c>
      <c r="E49" s="28">
        <v>96.82</v>
      </c>
      <c r="F49" s="28">
        <v>141.5</v>
      </c>
      <c r="G49" s="23">
        <v>142</v>
      </c>
      <c r="H49" s="23">
        <v>117</v>
      </c>
      <c r="I49" s="23">
        <v>485</v>
      </c>
      <c r="J49" s="23">
        <v>29</v>
      </c>
      <c r="K49" s="23" t="s">
        <v>56</v>
      </c>
      <c r="L49" s="23">
        <v>12.6</v>
      </c>
      <c r="M49" s="25">
        <v>46204</v>
      </c>
      <c r="N49" s="26">
        <f t="shared" si="0"/>
        <v>13748.439999999999</v>
      </c>
      <c r="O49" s="16">
        <f t="shared" si="1"/>
        <v>11.269841269841271</v>
      </c>
      <c r="P49" s="16" t="str">
        <f t="shared" si="2"/>
        <v>Low - Watch</v>
      </c>
      <c r="Q49" s="16" t="str">
        <f>IFERROR(INDEX(Suppliers!$B$2:$B$9,MATCH(K49,Suppliers!$A$2:$A$9,0)),"Unknown")</f>
        <v>Vertex Industrial Supply</v>
      </c>
      <c r="R49" s="16" t="str">
        <f t="shared" si="3"/>
        <v/>
      </c>
    </row>
  </sheetData>
  <conditionalFormatting sqref="P2:P49">
    <cfRule type="cellIs" dxfId="2" priority="2" operator="equal">
      <formula>"Reorder Now"</formula>
    </cfRule>
    <cfRule type="cellIs" dxfId="1" priority="3" operator="equal">
      <formula>"Low - Watch"</formula>
    </cfRule>
    <cfRule type="cellIs" dxfId="0" priority="4" operator="equal">
      <formula>"OK"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0" customWidth="1"/>
    <col min="3" max="3" width="12" customWidth="1"/>
    <col min="4" max="4" width="13" customWidth="1"/>
    <col min="5" max="5" width="15" customWidth="1"/>
    <col min="6" max="6" width="14" customWidth="1"/>
    <col min="7" max="8" width="12" customWidth="1"/>
    <col min="9" max="9" width="11" customWidth="1"/>
    <col min="10" max="10" width="12" customWidth="1"/>
    <col min="11" max="11" width="13" customWidth="1"/>
    <col min="12" max="13" width="11" customWidth="1"/>
    <col min="14" max="14" width="14" customWidth="1"/>
  </cols>
  <sheetData>
    <row r="1" spans="1:14" ht="27.6" x14ac:dyDescent="0.3">
      <c r="A1" s="15" t="s">
        <v>179</v>
      </c>
      <c r="B1" s="15" t="s">
        <v>11</v>
      </c>
      <c r="C1" s="15" t="s">
        <v>34</v>
      </c>
      <c r="D1" s="15" t="s">
        <v>180</v>
      </c>
      <c r="E1" s="15" t="s">
        <v>181</v>
      </c>
      <c r="F1" s="15" t="s">
        <v>182</v>
      </c>
      <c r="G1" s="15" t="s">
        <v>183</v>
      </c>
      <c r="H1" s="15" t="s">
        <v>184</v>
      </c>
      <c r="I1" s="15" t="s">
        <v>185</v>
      </c>
      <c r="J1" s="15" t="s">
        <v>69</v>
      </c>
      <c r="K1" s="15" t="s">
        <v>186</v>
      </c>
      <c r="L1" s="15" t="s">
        <v>187</v>
      </c>
      <c r="M1" s="15" t="s">
        <v>188</v>
      </c>
      <c r="N1" s="15" t="s">
        <v>189</v>
      </c>
    </row>
    <row r="2" spans="1:14" x14ac:dyDescent="0.3">
      <c r="A2" s="23" t="s">
        <v>190</v>
      </c>
      <c r="B2" s="23" t="s">
        <v>173</v>
      </c>
      <c r="C2" s="23" t="s">
        <v>56</v>
      </c>
      <c r="D2" s="25">
        <v>46279</v>
      </c>
      <c r="E2" s="25">
        <v>46304</v>
      </c>
      <c r="F2" s="25"/>
      <c r="G2" s="23">
        <v>103</v>
      </c>
      <c r="H2" s="23">
        <v>0</v>
      </c>
      <c r="I2" s="23" t="s">
        <v>191</v>
      </c>
      <c r="J2" s="28">
        <v>385.82</v>
      </c>
      <c r="K2" s="26">
        <f t="shared" ref="K2:K33" si="0">H2*J2</f>
        <v>0</v>
      </c>
      <c r="L2" s="16" t="str">
        <f t="shared" ref="L2:L33" si="1">IF(F2="","",F2-E2)</f>
        <v/>
      </c>
      <c r="M2" s="29" t="str">
        <f t="shared" ref="M2:M33" si="2">IF(F2="","",IF(L2&lt;=0,1,0))</f>
        <v/>
      </c>
      <c r="N2" s="27">
        <f t="shared" ref="N2:N33" si="3">IF(G2=0,"",H2/G2)</f>
        <v>0</v>
      </c>
    </row>
    <row r="3" spans="1:14" x14ac:dyDescent="0.3">
      <c r="A3" s="23" t="s">
        <v>192</v>
      </c>
      <c r="B3" s="23" t="s">
        <v>102</v>
      </c>
      <c r="C3" s="23" t="s">
        <v>53</v>
      </c>
      <c r="D3" s="25">
        <v>46226</v>
      </c>
      <c r="E3" s="25">
        <v>46237</v>
      </c>
      <c r="F3" s="25">
        <v>46243</v>
      </c>
      <c r="G3" s="23">
        <v>235</v>
      </c>
      <c r="H3" s="23">
        <v>235</v>
      </c>
      <c r="I3" s="23" t="s">
        <v>193</v>
      </c>
      <c r="J3" s="28">
        <v>179.24</v>
      </c>
      <c r="K3" s="26">
        <f t="shared" si="0"/>
        <v>42121.4</v>
      </c>
      <c r="L3" s="16">
        <f t="shared" si="1"/>
        <v>6</v>
      </c>
      <c r="M3" s="29">
        <f t="shared" si="2"/>
        <v>0</v>
      </c>
      <c r="N3" s="27">
        <f t="shared" si="3"/>
        <v>1</v>
      </c>
    </row>
    <row r="4" spans="1:14" x14ac:dyDescent="0.3">
      <c r="A4" s="23" t="s">
        <v>194</v>
      </c>
      <c r="B4" s="23" t="s">
        <v>93</v>
      </c>
      <c r="C4" s="23" t="s">
        <v>59</v>
      </c>
      <c r="D4" s="25">
        <v>46211</v>
      </c>
      <c r="E4" s="25">
        <v>46243</v>
      </c>
      <c r="F4" s="25">
        <v>46241</v>
      </c>
      <c r="G4" s="23">
        <v>242</v>
      </c>
      <c r="H4" s="23">
        <v>242</v>
      </c>
      <c r="I4" s="23" t="s">
        <v>193</v>
      </c>
      <c r="J4" s="28">
        <v>443.38</v>
      </c>
      <c r="K4" s="26">
        <f t="shared" si="0"/>
        <v>107297.95999999999</v>
      </c>
      <c r="L4" s="16">
        <f t="shared" si="1"/>
        <v>-2</v>
      </c>
      <c r="M4" s="29">
        <f t="shared" si="2"/>
        <v>1</v>
      </c>
      <c r="N4" s="27">
        <f t="shared" si="3"/>
        <v>1</v>
      </c>
    </row>
    <row r="5" spans="1:14" x14ac:dyDescent="0.3">
      <c r="A5" s="23" t="s">
        <v>195</v>
      </c>
      <c r="B5" s="23" t="s">
        <v>100</v>
      </c>
      <c r="C5" s="23" t="s">
        <v>53</v>
      </c>
      <c r="D5" s="25">
        <v>46192</v>
      </c>
      <c r="E5" s="25">
        <v>46199</v>
      </c>
      <c r="F5" s="25">
        <v>46210</v>
      </c>
      <c r="G5" s="23">
        <v>237</v>
      </c>
      <c r="H5" s="23">
        <v>237</v>
      </c>
      <c r="I5" s="23" t="s">
        <v>193</v>
      </c>
      <c r="J5" s="28">
        <v>104.61</v>
      </c>
      <c r="K5" s="26">
        <f t="shared" si="0"/>
        <v>24792.57</v>
      </c>
      <c r="L5" s="16">
        <f t="shared" si="1"/>
        <v>11</v>
      </c>
      <c r="M5" s="29">
        <f t="shared" si="2"/>
        <v>0</v>
      </c>
      <c r="N5" s="27">
        <f t="shared" si="3"/>
        <v>1</v>
      </c>
    </row>
    <row r="6" spans="1:14" x14ac:dyDescent="0.3">
      <c r="A6" s="23" t="s">
        <v>196</v>
      </c>
      <c r="B6" s="23" t="s">
        <v>106</v>
      </c>
      <c r="C6" s="23" t="s">
        <v>44</v>
      </c>
      <c r="D6" s="25">
        <v>46193</v>
      </c>
      <c r="E6" s="25">
        <v>46231</v>
      </c>
      <c r="F6" s="25">
        <v>46231</v>
      </c>
      <c r="G6" s="23">
        <v>228</v>
      </c>
      <c r="H6" s="23">
        <v>228</v>
      </c>
      <c r="I6" s="23" t="s">
        <v>193</v>
      </c>
      <c r="J6" s="28">
        <v>269.19</v>
      </c>
      <c r="K6" s="26">
        <f t="shared" si="0"/>
        <v>61375.32</v>
      </c>
      <c r="L6" s="16">
        <f t="shared" si="1"/>
        <v>0</v>
      </c>
      <c r="M6" s="29">
        <f t="shared" si="2"/>
        <v>1</v>
      </c>
      <c r="N6" s="27">
        <f t="shared" si="3"/>
        <v>1</v>
      </c>
    </row>
    <row r="7" spans="1:14" x14ac:dyDescent="0.3">
      <c r="A7" s="23" t="s">
        <v>197</v>
      </c>
      <c r="B7" s="23" t="s">
        <v>154</v>
      </c>
      <c r="C7" s="23" t="s">
        <v>47</v>
      </c>
      <c r="D7" s="25">
        <v>46280</v>
      </c>
      <c r="E7" s="25">
        <v>46325</v>
      </c>
      <c r="F7" s="25"/>
      <c r="G7" s="23">
        <v>260</v>
      </c>
      <c r="H7" s="23">
        <v>0</v>
      </c>
      <c r="I7" s="23" t="s">
        <v>191</v>
      </c>
      <c r="J7" s="28">
        <v>165.17</v>
      </c>
      <c r="K7" s="26">
        <f t="shared" si="0"/>
        <v>0</v>
      </c>
      <c r="L7" s="16" t="str">
        <f t="shared" si="1"/>
        <v/>
      </c>
      <c r="M7" s="29" t="str">
        <f t="shared" si="2"/>
        <v/>
      </c>
      <c r="N7" s="27">
        <f t="shared" si="3"/>
        <v>0</v>
      </c>
    </row>
    <row r="8" spans="1:14" x14ac:dyDescent="0.3">
      <c r="A8" s="23" t="s">
        <v>198</v>
      </c>
      <c r="B8" s="23" t="s">
        <v>160</v>
      </c>
      <c r="C8" s="23" t="s">
        <v>59</v>
      </c>
      <c r="D8" s="25">
        <v>46150</v>
      </c>
      <c r="E8" s="25">
        <v>46171</v>
      </c>
      <c r="F8" s="25">
        <v>46169</v>
      </c>
      <c r="G8" s="23">
        <v>143</v>
      </c>
      <c r="H8" s="23">
        <v>143</v>
      </c>
      <c r="I8" s="23" t="s">
        <v>193</v>
      </c>
      <c r="J8" s="28">
        <v>357.59</v>
      </c>
      <c r="K8" s="26">
        <f t="shared" si="0"/>
        <v>51135.369999999995</v>
      </c>
      <c r="L8" s="16">
        <f t="shared" si="1"/>
        <v>-2</v>
      </c>
      <c r="M8" s="29">
        <f t="shared" si="2"/>
        <v>1</v>
      </c>
      <c r="N8" s="27">
        <f t="shared" si="3"/>
        <v>1</v>
      </c>
    </row>
    <row r="9" spans="1:14" x14ac:dyDescent="0.3">
      <c r="A9" s="23" t="s">
        <v>199</v>
      </c>
      <c r="B9" s="23" t="s">
        <v>143</v>
      </c>
      <c r="C9" s="23" t="s">
        <v>53</v>
      </c>
      <c r="D9" s="25">
        <v>46144</v>
      </c>
      <c r="E9" s="25">
        <v>46160</v>
      </c>
      <c r="F9" s="25">
        <v>46170</v>
      </c>
      <c r="G9" s="23">
        <v>283</v>
      </c>
      <c r="H9" s="23">
        <v>283</v>
      </c>
      <c r="I9" s="23" t="s">
        <v>193</v>
      </c>
      <c r="J9" s="28">
        <v>194.54</v>
      </c>
      <c r="K9" s="26">
        <f t="shared" si="0"/>
        <v>55054.82</v>
      </c>
      <c r="L9" s="16">
        <f t="shared" si="1"/>
        <v>10</v>
      </c>
      <c r="M9" s="29">
        <f t="shared" si="2"/>
        <v>0</v>
      </c>
      <c r="N9" s="27">
        <f t="shared" si="3"/>
        <v>1</v>
      </c>
    </row>
    <row r="10" spans="1:14" x14ac:dyDescent="0.3">
      <c r="A10" s="23" t="s">
        <v>200</v>
      </c>
      <c r="B10" s="23" t="s">
        <v>82</v>
      </c>
      <c r="C10" s="23" t="s">
        <v>62</v>
      </c>
      <c r="D10" s="25">
        <v>46208</v>
      </c>
      <c r="E10" s="25">
        <v>46245</v>
      </c>
      <c r="F10" s="25">
        <v>46248</v>
      </c>
      <c r="G10" s="23">
        <v>432</v>
      </c>
      <c r="H10" s="23">
        <v>432</v>
      </c>
      <c r="I10" s="23" t="s">
        <v>193</v>
      </c>
      <c r="J10" s="28">
        <v>228.4</v>
      </c>
      <c r="K10" s="26">
        <f t="shared" si="0"/>
        <v>98668.800000000003</v>
      </c>
      <c r="L10" s="16">
        <f t="shared" si="1"/>
        <v>3</v>
      </c>
      <c r="M10" s="29">
        <f t="shared" si="2"/>
        <v>0</v>
      </c>
      <c r="N10" s="27">
        <f t="shared" si="3"/>
        <v>1</v>
      </c>
    </row>
    <row r="11" spans="1:14" x14ac:dyDescent="0.3">
      <c r="A11" s="23" t="s">
        <v>201</v>
      </c>
      <c r="B11" s="23" t="s">
        <v>119</v>
      </c>
      <c r="C11" s="23" t="s">
        <v>47</v>
      </c>
      <c r="D11" s="25">
        <v>46169</v>
      </c>
      <c r="E11" s="25">
        <v>46175</v>
      </c>
      <c r="F11" s="25">
        <v>46175</v>
      </c>
      <c r="G11" s="23">
        <v>339</v>
      </c>
      <c r="H11" s="23">
        <v>339</v>
      </c>
      <c r="I11" s="23" t="s">
        <v>193</v>
      </c>
      <c r="J11" s="28">
        <v>45.43</v>
      </c>
      <c r="K11" s="26">
        <f t="shared" si="0"/>
        <v>15400.77</v>
      </c>
      <c r="L11" s="16">
        <f t="shared" si="1"/>
        <v>0</v>
      </c>
      <c r="M11" s="29">
        <f t="shared" si="2"/>
        <v>1</v>
      </c>
      <c r="N11" s="27">
        <f t="shared" si="3"/>
        <v>1</v>
      </c>
    </row>
    <row r="12" spans="1:14" x14ac:dyDescent="0.3">
      <c r="A12" s="23" t="s">
        <v>202</v>
      </c>
      <c r="B12" s="23" t="s">
        <v>78</v>
      </c>
      <c r="C12" s="23" t="s">
        <v>47</v>
      </c>
      <c r="D12" s="25">
        <v>46214</v>
      </c>
      <c r="E12" s="25">
        <v>46251</v>
      </c>
      <c r="F12" s="25">
        <v>46253</v>
      </c>
      <c r="G12" s="23">
        <v>152</v>
      </c>
      <c r="H12" s="23">
        <v>152</v>
      </c>
      <c r="I12" s="23" t="s">
        <v>193</v>
      </c>
      <c r="J12" s="28">
        <v>334.21</v>
      </c>
      <c r="K12" s="26">
        <f t="shared" si="0"/>
        <v>50799.92</v>
      </c>
      <c r="L12" s="16">
        <f t="shared" si="1"/>
        <v>2</v>
      </c>
      <c r="M12" s="29">
        <f t="shared" si="2"/>
        <v>0</v>
      </c>
      <c r="N12" s="27">
        <f t="shared" si="3"/>
        <v>1</v>
      </c>
    </row>
    <row r="13" spans="1:14" x14ac:dyDescent="0.3">
      <c r="A13" s="23" t="s">
        <v>203</v>
      </c>
      <c r="B13" s="23" t="s">
        <v>156</v>
      </c>
      <c r="C13" s="23" t="s">
        <v>62</v>
      </c>
      <c r="D13" s="25">
        <v>46276</v>
      </c>
      <c r="E13" s="25">
        <v>46321</v>
      </c>
      <c r="F13" s="25"/>
      <c r="G13" s="23">
        <v>315</v>
      </c>
      <c r="H13" s="23">
        <v>0</v>
      </c>
      <c r="I13" s="23" t="s">
        <v>191</v>
      </c>
      <c r="J13" s="28">
        <v>148.13</v>
      </c>
      <c r="K13" s="26">
        <f t="shared" si="0"/>
        <v>0</v>
      </c>
      <c r="L13" s="16" t="str">
        <f t="shared" si="1"/>
        <v/>
      </c>
      <c r="M13" s="29" t="str">
        <f t="shared" si="2"/>
        <v/>
      </c>
      <c r="N13" s="27">
        <f t="shared" si="3"/>
        <v>0</v>
      </c>
    </row>
    <row r="14" spans="1:14" x14ac:dyDescent="0.3">
      <c r="A14" s="23" t="s">
        <v>204</v>
      </c>
      <c r="B14" s="23" t="s">
        <v>149</v>
      </c>
      <c r="C14" s="23" t="s">
        <v>59</v>
      </c>
      <c r="D14" s="25">
        <v>46196</v>
      </c>
      <c r="E14" s="25">
        <v>46216</v>
      </c>
      <c r="F14" s="25">
        <v>46218</v>
      </c>
      <c r="G14" s="23">
        <v>135</v>
      </c>
      <c r="H14" s="23">
        <v>135</v>
      </c>
      <c r="I14" s="23" t="s">
        <v>193</v>
      </c>
      <c r="J14" s="28">
        <v>12.6</v>
      </c>
      <c r="K14" s="26">
        <f t="shared" si="0"/>
        <v>1701</v>
      </c>
      <c r="L14" s="16">
        <f t="shared" si="1"/>
        <v>2</v>
      </c>
      <c r="M14" s="29">
        <f t="shared" si="2"/>
        <v>0</v>
      </c>
      <c r="N14" s="27">
        <f t="shared" si="3"/>
        <v>1</v>
      </c>
    </row>
    <row r="15" spans="1:14" x14ac:dyDescent="0.3">
      <c r="A15" s="23" t="s">
        <v>205</v>
      </c>
      <c r="B15" s="23" t="s">
        <v>117</v>
      </c>
      <c r="C15" s="23" t="s">
        <v>65</v>
      </c>
      <c r="D15" s="25">
        <v>46160</v>
      </c>
      <c r="E15" s="25">
        <v>46171</v>
      </c>
      <c r="F15" s="25">
        <v>46170</v>
      </c>
      <c r="G15" s="23">
        <v>376</v>
      </c>
      <c r="H15" s="23">
        <v>376</v>
      </c>
      <c r="I15" s="23" t="s">
        <v>193</v>
      </c>
      <c r="J15" s="28">
        <v>33.74</v>
      </c>
      <c r="K15" s="26">
        <f t="shared" si="0"/>
        <v>12686.240000000002</v>
      </c>
      <c r="L15" s="16">
        <f t="shared" si="1"/>
        <v>-1</v>
      </c>
      <c r="M15" s="29">
        <f t="shared" si="2"/>
        <v>1</v>
      </c>
      <c r="N15" s="27">
        <f t="shared" si="3"/>
        <v>1</v>
      </c>
    </row>
    <row r="16" spans="1:14" x14ac:dyDescent="0.3">
      <c r="A16" s="23" t="s">
        <v>206</v>
      </c>
      <c r="B16" s="23" t="s">
        <v>141</v>
      </c>
      <c r="C16" s="23" t="s">
        <v>47</v>
      </c>
      <c r="D16" s="25">
        <v>46272</v>
      </c>
      <c r="E16" s="25">
        <v>46282</v>
      </c>
      <c r="F16" s="25"/>
      <c r="G16" s="23">
        <v>104</v>
      </c>
      <c r="H16" s="23">
        <v>0</v>
      </c>
      <c r="I16" s="23" t="s">
        <v>191</v>
      </c>
      <c r="J16" s="28">
        <v>74.39</v>
      </c>
      <c r="K16" s="26">
        <f t="shared" si="0"/>
        <v>0</v>
      </c>
      <c r="L16" s="16" t="str">
        <f t="shared" si="1"/>
        <v/>
      </c>
      <c r="M16" s="29" t="str">
        <f t="shared" si="2"/>
        <v/>
      </c>
      <c r="N16" s="27">
        <f t="shared" si="3"/>
        <v>0</v>
      </c>
    </row>
    <row r="17" spans="1:14" x14ac:dyDescent="0.3">
      <c r="A17" s="23" t="s">
        <v>207</v>
      </c>
      <c r="B17" s="23" t="s">
        <v>121</v>
      </c>
      <c r="C17" s="23" t="s">
        <v>53</v>
      </c>
      <c r="D17" s="25">
        <v>46160</v>
      </c>
      <c r="E17" s="25">
        <v>46192</v>
      </c>
      <c r="F17" s="25">
        <v>46190</v>
      </c>
      <c r="G17" s="23">
        <v>242</v>
      </c>
      <c r="H17" s="23">
        <v>242</v>
      </c>
      <c r="I17" s="23" t="s">
        <v>193</v>
      </c>
      <c r="J17" s="28">
        <v>87.21</v>
      </c>
      <c r="K17" s="26">
        <f t="shared" si="0"/>
        <v>21104.82</v>
      </c>
      <c r="L17" s="16">
        <f t="shared" si="1"/>
        <v>-2</v>
      </c>
      <c r="M17" s="29">
        <f t="shared" si="2"/>
        <v>1</v>
      </c>
      <c r="N17" s="27">
        <f t="shared" si="3"/>
        <v>1</v>
      </c>
    </row>
    <row r="18" spans="1:14" x14ac:dyDescent="0.3">
      <c r="A18" s="23" t="s">
        <v>208</v>
      </c>
      <c r="B18" s="23" t="s">
        <v>177</v>
      </c>
      <c r="C18" s="23" t="s">
        <v>56</v>
      </c>
      <c r="D18" s="25">
        <v>46219</v>
      </c>
      <c r="E18" s="25">
        <v>46248</v>
      </c>
      <c r="F18" s="25">
        <v>46260</v>
      </c>
      <c r="G18" s="23">
        <v>485</v>
      </c>
      <c r="H18" s="23">
        <v>485</v>
      </c>
      <c r="I18" s="23" t="s">
        <v>193</v>
      </c>
      <c r="J18" s="28">
        <v>96.82</v>
      </c>
      <c r="K18" s="26">
        <f t="shared" si="0"/>
        <v>46957.7</v>
      </c>
      <c r="L18" s="16">
        <f t="shared" si="1"/>
        <v>12</v>
      </c>
      <c r="M18" s="29">
        <f t="shared" si="2"/>
        <v>0</v>
      </c>
      <c r="N18" s="27">
        <f t="shared" si="3"/>
        <v>1</v>
      </c>
    </row>
    <row r="19" spans="1:14" x14ac:dyDescent="0.3">
      <c r="A19" s="23" t="s">
        <v>209</v>
      </c>
      <c r="B19" s="23" t="s">
        <v>147</v>
      </c>
      <c r="C19" s="23" t="s">
        <v>53</v>
      </c>
      <c r="D19" s="25">
        <v>46152</v>
      </c>
      <c r="E19" s="25">
        <v>46185</v>
      </c>
      <c r="F19" s="25">
        <v>46194</v>
      </c>
      <c r="G19" s="23">
        <v>119</v>
      </c>
      <c r="H19" s="23">
        <v>119</v>
      </c>
      <c r="I19" s="23" t="s">
        <v>193</v>
      </c>
      <c r="J19" s="28">
        <v>121.53</v>
      </c>
      <c r="K19" s="26">
        <f t="shared" si="0"/>
        <v>14462.07</v>
      </c>
      <c r="L19" s="16">
        <f t="shared" si="1"/>
        <v>9</v>
      </c>
      <c r="M19" s="29">
        <f t="shared" si="2"/>
        <v>0</v>
      </c>
      <c r="N19" s="27">
        <f t="shared" si="3"/>
        <v>1</v>
      </c>
    </row>
    <row r="20" spans="1:14" x14ac:dyDescent="0.3">
      <c r="A20" s="23" t="s">
        <v>210</v>
      </c>
      <c r="B20" s="23" t="s">
        <v>111</v>
      </c>
      <c r="C20" s="23" t="s">
        <v>47</v>
      </c>
      <c r="D20" s="25">
        <v>46157</v>
      </c>
      <c r="E20" s="25">
        <v>46191</v>
      </c>
      <c r="F20" s="25">
        <v>46189</v>
      </c>
      <c r="G20" s="23">
        <v>474</v>
      </c>
      <c r="H20" s="23">
        <v>474</v>
      </c>
      <c r="I20" s="23" t="s">
        <v>193</v>
      </c>
      <c r="J20" s="28">
        <v>109.91</v>
      </c>
      <c r="K20" s="26">
        <f t="shared" si="0"/>
        <v>52097.34</v>
      </c>
      <c r="L20" s="16">
        <f t="shared" si="1"/>
        <v>-2</v>
      </c>
      <c r="M20" s="29">
        <f t="shared" si="2"/>
        <v>1</v>
      </c>
      <c r="N20" s="27">
        <f t="shared" si="3"/>
        <v>1</v>
      </c>
    </row>
    <row r="21" spans="1:14" x14ac:dyDescent="0.3">
      <c r="A21" s="23" t="s">
        <v>211</v>
      </c>
      <c r="B21" s="23" t="s">
        <v>104</v>
      </c>
      <c r="C21" s="23" t="s">
        <v>47</v>
      </c>
      <c r="D21" s="25">
        <v>46152</v>
      </c>
      <c r="E21" s="25">
        <v>46186</v>
      </c>
      <c r="F21" s="25">
        <v>46184</v>
      </c>
      <c r="G21" s="23">
        <v>360</v>
      </c>
      <c r="H21" s="23">
        <v>360</v>
      </c>
      <c r="I21" s="23" t="s">
        <v>193</v>
      </c>
      <c r="J21" s="28">
        <v>404.22</v>
      </c>
      <c r="K21" s="26">
        <f t="shared" si="0"/>
        <v>145519.20000000001</v>
      </c>
      <c r="L21" s="16">
        <f t="shared" si="1"/>
        <v>-2</v>
      </c>
      <c r="M21" s="29">
        <f t="shared" si="2"/>
        <v>1</v>
      </c>
      <c r="N21" s="27">
        <f t="shared" si="3"/>
        <v>1</v>
      </c>
    </row>
    <row r="22" spans="1:14" x14ac:dyDescent="0.3">
      <c r="A22" s="23" t="s">
        <v>212</v>
      </c>
      <c r="B22" s="23" t="s">
        <v>104</v>
      </c>
      <c r="C22" s="23" t="s">
        <v>47</v>
      </c>
      <c r="D22" s="25">
        <v>46245</v>
      </c>
      <c r="E22" s="25">
        <v>46279</v>
      </c>
      <c r="F22" s="25">
        <v>46287</v>
      </c>
      <c r="G22" s="23">
        <v>360</v>
      </c>
      <c r="H22" s="23">
        <v>281</v>
      </c>
      <c r="I22" s="23" t="s">
        <v>193</v>
      </c>
      <c r="J22" s="28">
        <v>404.22</v>
      </c>
      <c r="K22" s="26">
        <f t="shared" si="0"/>
        <v>113585.82</v>
      </c>
      <c r="L22" s="16">
        <f t="shared" si="1"/>
        <v>8</v>
      </c>
      <c r="M22" s="29">
        <f t="shared" si="2"/>
        <v>0</v>
      </c>
      <c r="N22" s="27">
        <f t="shared" si="3"/>
        <v>0.78055555555555556</v>
      </c>
    </row>
    <row r="23" spans="1:14" x14ac:dyDescent="0.3">
      <c r="A23" s="23" t="s">
        <v>213</v>
      </c>
      <c r="B23" s="23" t="s">
        <v>147</v>
      </c>
      <c r="C23" s="23" t="s">
        <v>53</v>
      </c>
      <c r="D23" s="25">
        <v>46194</v>
      </c>
      <c r="E23" s="25">
        <v>46227</v>
      </c>
      <c r="F23" s="25">
        <v>46225</v>
      </c>
      <c r="G23" s="23">
        <v>119</v>
      </c>
      <c r="H23" s="23">
        <v>119</v>
      </c>
      <c r="I23" s="23" t="s">
        <v>193</v>
      </c>
      <c r="J23" s="28">
        <v>121.53</v>
      </c>
      <c r="K23" s="26">
        <f t="shared" si="0"/>
        <v>14462.07</v>
      </c>
      <c r="L23" s="16">
        <f t="shared" si="1"/>
        <v>-2</v>
      </c>
      <c r="M23" s="29">
        <f t="shared" si="2"/>
        <v>1</v>
      </c>
      <c r="N23" s="27">
        <f t="shared" si="3"/>
        <v>1</v>
      </c>
    </row>
    <row r="24" spans="1:14" x14ac:dyDescent="0.3">
      <c r="A24" s="23" t="s">
        <v>214</v>
      </c>
      <c r="B24" s="23" t="s">
        <v>102</v>
      </c>
      <c r="C24" s="23" t="s">
        <v>53</v>
      </c>
      <c r="D24" s="25">
        <v>46098</v>
      </c>
      <c r="E24" s="25">
        <v>46109</v>
      </c>
      <c r="F24" s="25">
        <v>46107</v>
      </c>
      <c r="G24" s="23">
        <v>235</v>
      </c>
      <c r="H24" s="23">
        <v>235</v>
      </c>
      <c r="I24" s="23" t="s">
        <v>193</v>
      </c>
      <c r="J24" s="28">
        <v>179.24</v>
      </c>
      <c r="K24" s="26">
        <f t="shared" si="0"/>
        <v>42121.4</v>
      </c>
      <c r="L24" s="16">
        <f t="shared" si="1"/>
        <v>-2</v>
      </c>
      <c r="M24" s="29">
        <f t="shared" si="2"/>
        <v>1</v>
      </c>
      <c r="N24" s="27">
        <f t="shared" si="3"/>
        <v>1</v>
      </c>
    </row>
    <row r="25" spans="1:14" x14ac:dyDescent="0.3">
      <c r="A25" s="23" t="s">
        <v>215</v>
      </c>
      <c r="B25" s="23" t="s">
        <v>106</v>
      </c>
      <c r="C25" s="23" t="s">
        <v>44</v>
      </c>
      <c r="D25" s="25">
        <v>46120</v>
      </c>
      <c r="E25" s="25">
        <v>46158</v>
      </c>
      <c r="F25" s="25">
        <v>46163</v>
      </c>
      <c r="G25" s="23">
        <v>228</v>
      </c>
      <c r="H25" s="23">
        <v>228</v>
      </c>
      <c r="I25" s="23" t="s">
        <v>193</v>
      </c>
      <c r="J25" s="28">
        <v>269.19</v>
      </c>
      <c r="K25" s="26">
        <f t="shared" si="0"/>
        <v>61375.32</v>
      </c>
      <c r="L25" s="16">
        <f t="shared" si="1"/>
        <v>5</v>
      </c>
      <c r="M25" s="29">
        <f t="shared" si="2"/>
        <v>0</v>
      </c>
      <c r="N25" s="27">
        <f t="shared" si="3"/>
        <v>1</v>
      </c>
    </row>
    <row r="26" spans="1:14" x14ac:dyDescent="0.3">
      <c r="A26" s="23" t="s">
        <v>216</v>
      </c>
      <c r="B26" s="23" t="s">
        <v>156</v>
      </c>
      <c r="C26" s="23" t="s">
        <v>62</v>
      </c>
      <c r="D26" s="25">
        <v>46277</v>
      </c>
      <c r="E26" s="25">
        <v>46322</v>
      </c>
      <c r="F26" s="25"/>
      <c r="G26" s="23">
        <v>315</v>
      </c>
      <c r="H26" s="23">
        <v>0</v>
      </c>
      <c r="I26" s="23" t="s">
        <v>191</v>
      </c>
      <c r="J26" s="28">
        <v>148.13</v>
      </c>
      <c r="K26" s="26">
        <f t="shared" si="0"/>
        <v>0</v>
      </c>
      <c r="L26" s="16" t="str">
        <f t="shared" si="1"/>
        <v/>
      </c>
      <c r="M26" s="29" t="str">
        <f t="shared" si="2"/>
        <v/>
      </c>
      <c r="N26" s="27">
        <f t="shared" si="3"/>
        <v>0</v>
      </c>
    </row>
    <row r="27" spans="1:14" x14ac:dyDescent="0.3">
      <c r="A27" s="23" t="s">
        <v>217</v>
      </c>
      <c r="B27" s="23" t="s">
        <v>115</v>
      </c>
      <c r="C27" s="23" t="s">
        <v>53</v>
      </c>
      <c r="D27" s="25">
        <v>46280</v>
      </c>
      <c r="E27" s="25">
        <v>46297</v>
      </c>
      <c r="F27" s="25"/>
      <c r="G27" s="23">
        <v>383</v>
      </c>
      <c r="H27" s="23">
        <v>0</v>
      </c>
      <c r="I27" s="23" t="s">
        <v>191</v>
      </c>
      <c r="J27" s="28">
        <v>113.06</v>
      </c>
      <c r="K27" s="26">
        <f t="shared" si="0"/>
        <v>0</v>
      </c>
      <c r="L27" s="16" t="str">
        <f t="shared" si="1"/>
        <v/>
      </c>
      <c r="M27" s="29" t="str">
        <f t="shared" si="2"/>
        <v/>
      </c>
      <c r="N27" s="27">
        <f t="shared" si="3"/>
        <v>0</v>
      </c>
    </row>
    <row r="28" spans="1:14" x14ac:dyDescent="0.3">
      <c r="A28" s="23" t="s">
        <v>218</v>
      </c>
      <c r="B28" s="23" t="s">
        <v>125</v>
      </c>
      <c r="C28" s="23" t="s">
        <v>65</v>
      </c>
      <c r="D28" s="25">
        <v>46232</v>
      </c>
      <c r="E28" s="25">
        <v>46262</v>
      </c>
      <c r="F28" s="25">
        <v>46267</v>
      </c>
      <c r="G28" s="23">
        <v>246</v>
      </c>
      <c r="H28" s="23">
        <v>240</v>
      </c>
      <c r="I28" s="23" t="s">
        <v>193</v>
      </c>
      <c r="J28" s="28">
        <v>171.78</v>
      </c>
      <c r="K28" s="26">
        <f t="shared" si="0"/>
        <v>41227.199999999997</v>
      </c>
      <c r="L28" s="16">
        <f t="shared" si="1"/>
        <v>5</v>
      </c>
      <c r="M28" s="29">
        <f t="shared" si="2"/>
        <v>0</v>
      </c>
      <c r="N28" s="27">
        <f t="shared" si="3"/>
        <v>0.97560975609756095</v>
      </c>
    </row>
    <row r="29" spans="1:14" x14ac:dyDescent="0.3">
      <c r="A29" s="23" t="s">
        <v>219</v>
      </c>
      <c r="B29" s="23" t="s">
        <v>100</v>
      </c>
      <c r="C29" s="23" t="s">
        <v>53</v>
      </c>
      <c r="D29" s="25">
        <v>46277</v>
      </c>
      <c r="E29" s="25">
        <v>46284</v>
      </c>
      <c r="F29" s="25"/>
      <c r="G29" s="23">
        <v>237</v>
      </c>
      <c r="H29" s="23">
        <v>0</v>
      </c>
      <c r="I29" s="23" t="s">
        <v>191</v>
      </c>
      <c r="J29" s="28">
        <v>104.61</v>
      </c>
      <c r="K29" s="26">
        <f t="shared" si="0"/>
        <v>0</v>
      </c>
      <c r="L29" s="16" t="str">
        <f t="shared" si="1"/>
        <v/>
      </c>
      <c r="M29" s="29" t="str">
        <f t="shared" si="2"/>
        <v/>
      </c>
      <c r="N29" s="27">
        <f t="shared" si="3"/>
        <v>0</v>
      </c>
    </row>
    <row r="30" spans="1:14" x14ac:dyDescent="0.3">
      <c r="A30" s="23" t="s">
        <v>220</v>
      </c>
      <c r="B30" s="23" t="s">
        <v>97</v>
      </c>
      <c r="C30" s="23" t="s">
        <v>56</v>
      </c>
      <c r="D30" s="25">
        <v>46122</v>
      </c>
      <c r="E30" s="25">
        <v>46149</v>
      </c>
      <c r="F30" s="25">
        <v>46149</v>
      </c>
      <c r="G30" s="23">
        <v>336</v>
      </c>
      <c r="H30" s="23">
        <v>279</v>
      </c>
      <c r="I30" s="23" t="s">
        <v>193</v>
      </c>
      <c r="J30" s="28">
        <v>274.89</v>
      </c>
      <c r="K30" s="26">
        <f t="shared" si="0"/>
        <v>76694.31</v>
      </c>
      <c r="L30" s="16">
        <f t="shared" si="1"/>
        <v>0</v>
      </c>
      <c r="M30" s="29">
        <f t="shared" si="2"/>
        <v>1</v>
      </c>
      <c r="N30" s="27">
        <f t="shared" si="3"/>
        <v>0.8303571428571429</v>
      </c>
    </row>
    <row r="31" spans="1:14" x14ac:dyDescent="0.3">
      <c r="A31" s="23" t="s">
        <v>221</v>
      </c>
      <c r="B31" s="23" t="s">
        <v>162</v>
      </c>
      <c r="C31" s="23" t="s">
        <v>65</v>
      </c>
      <c r="D31" s="25">
        <v>46202</v>
      </c>
      <c r="E31" s="25">
        <v>46209</v>
      </c>
      <c r="F31" s="25">
        <v>46207</v>
      </c>
      <c r="G31" s="23">
        <v>493</v>
      </c>
      <c r="H31" s="23">
        <v>493</v>
      </c>
      <c r="I31" s="23" t="s">
        <v>193</v>
      </c>
      <c r="J31" s="28">
        <v>68.010000000000005</v>
      </c>
      <c r="K31" s="26">
        <f t="shared" si="0"/>
        <v>33528.93</v>
      </c>
      <c r="L31" s="16">
        <f t="shared" si="1"/>
        <v>-2</v>
      </c>
      <c r="M31" s="29">
        <f t="shared" si="2"/>
        <v>1</v>
      </c>
      <c r="N31" s="27">
        <f t="shared" si="3"/>
        <v>1</v>
      </c>
    </row>
    <row r="32" spans="1:14" x14ac:dyDescent="0.3">
      <c r="A32" s="23" t="s">
        <v>222</v>
      </c>
      <c r="B32" s="23" t="s">
        <v>145</v>
      </c>
      <c r="C32" s="23" t="s">
        <v>50</v>
      </c>
      <c r="D32" s="25">
        <v>46100</v>
      </c>
      <c r="E32" s="25">
        <v>46104</v>
      </c>
      <c r="F32" s="25">
        <v>46103</v>
      </c>
      <c r="G32" s="23">
        <v>311</v>
      </c>
      <c r="H32" s="23">
        <v>311</v>
      </c>
      <c r="I32" s="23" t="s">
        <v>193</v>
      </c>
      <c r="J32" s="28">
        <v>416.74</v>
      </c>
      <c r="K32" s="26">
        <f t="shared" si="0"/>
        <v>129606.14</v>
      </c>
      <c r="L32" s="16">
        <f t="shared" si="1"/>
        <v>-1</v>
      </c>
      <c r="M32" s="29">
        <f t="shared" si="2"/>
        <v>1</v>
      </c>
      <c r="N32" s="27">
        <f t="shared" si="3"/>
        <v>1</v>
      </c>
    </row>
    <row r="33" spans="1:14" x14ac:dyDescent="0.3">
      <c r="A33" s="23" t="s">
        <v>223</v>
      </c>
      <c r="B33" s="23" t="s">
        <v>170</v>
      </c>
      <c r="C33" s="23" t="s">
        <v>59</v>
      </c>
      <c r="D33" s="25">
        <v>46132</v>
      </c>
      <c r="E33" s="25">
        <v>46156</v>
      </c>
      <c r="F33" s="25">
        <v>46156</v>
      </c>
      <c r="G33" s="23">
        <v>239</v>
      </c>
      <c r="H33" s="23">
        <v>239</v>
      </c>
      <c r="I33" s="23" t="s">
        <v>193</v>
      </c>
      <c r="J33" s="28">
        <v>125.02</v>
      </c>
      <c r="K33" s="26">
        <f t="shared" si="0"/>
        <v>29879.78</v>
      </c>
      <c r="L33" s="16">
        <f t="shared" si="1"/>
        <v>0</v>
      </c>
      <c r="M33" s="29">
        <f t="shared" si="2"/>
        <v>1</v>
      </c>
      <c r="N33" s="27">
        <f t="shared" si="3"/>
        <v>1</v>
      </c>
    </row>
    <row r="34" spans="1:14" x14ac:dyDescent="0.3">
      <c r="A34" s="23" t="s">
        <v>224</v>
      </c>
      <c r="B34" s="23" t="s">
        <v>121</v>
      </c>
      <c r="C34" s="23" t="s">
        <v>53</v>
      </c>
      <c r="D34" s="25">
        <v>46118</v>
      </c>
      <c r="E34" s="25">
        <v>46150</v>
      </c>
      <c r="F34" s="25">
        <v>46148</v>
      </c>
      <c r="G34" s="23">
        <v>242</v>
      </c>
      <c r="H34" s="23">
        <v>242</v>
      </c>
      <c r="I34" s="23" t="s">
        <v>193</v>
      </c>
      <c r="J34" s="28">
        <v>87.21</v>
      </c>
      <c r="K34" s="26">
        <f t="shared" ref="K34:K65" si="4">H34*J34</f>
        <v>21104.82</v>
      </c>
      <c r="L34" s="16">
        <f t="shared" ref="L34:L65" si="5">IF(F34="","",F34-E34)</f>
        <v>-2</v>
      </c>
      <c r="M34" s="29">
        <f t="shared" ref="M34:M65" si="6">IF(F34="","",IF(L34&lt;=0,1,0))</f>
        <v>1</v>
      </c>
      <c r="N34" s="27">
        <f t="shared" ref="N34:N65" si="7">IF(G34=0,"",H34/G34)</f>
        <v>1</v>
      </c>
    </row>
    <row r="35" spans="1:14" x14ac:dyDescent="0.3">
      <c r="A35" s="23" t="s">
        <v>225</v>
      </c>
      <c r="B35" s="23" t="s">
        <v>158</v>
      </c>
      <c r="C35" s="23" t="s">
        <v>59</v>
      </c>
      <c r="D35" s="25">
        <v>46155</v>
      </c>
      <c r="E35" s="25">
        <v>46195</v>
      </c>
      <c r="F35" s="25">
        <v>46194</v>
      </c>
      <c r="G35" s="23">
        <v>320</v>
      </c>
      <c r="H35" s="23">
        <v>320</v>
      </c>
      <c r="I35" s="23" t="s">
        <v>193</v>
      </c>
      <c r="J35" s="28">
        <v>247.48</v>
      </c>
      <c r="K35" s="26">
        <f t="shared" si="4"/>
        <v>79193.599999999991</v>
      </c>
      <c r="L35" s="16">
        <f t="shared" si="5"/>
        <v>-1</v>
      </c>
      <c r="M35" s="29">
        <f t="shared" si="6"/>
        <v>1</v>
      </c>
      <c r="N35" s="27">
        <f t="shared" si="7"/>
        <v>1</v>
      </c>
    </row>
    <row r="36" spans="1:14" x14ac:dyDescent="0.3">
      <c r="A36" s="23" t="s">
        <v>226</v>
      </c>
      <c r="B36" s="23" t="s">
        <v>121</v>
      </c>
      <c r="C36" s="23" t="s">
        <v>53</v>
      </c>
      <c r="D36" s="25">
        <v>46210</v>
      </c>
      <c r="E36" s="25">
        <v>46242</v>
      </c>
      <c r="F36" s="25">
        <v>46241</v>
      </c>
      <c r="G36" s="23">
        <v>242</v>
      </c>
      <c r="H36" s="23">
        <v>199</v>
      </c>
      <c r="I36" s="23" t="s">
        <v>193</v>
      </c>
      <c r="J36" s="28">
        <v>87.21</v>
      </c>
      <c r="K36" s="26">
        <f t="shared" si="4"/>
        <v>17354.789999999997</v>
      </c>
      <c r="L36" s="16">
        <f t="shared" si="5"/>
        <v>-1</v>
      </c>
      <c r="M36" s="29">
        <f t="shared" si="6"/>
        <v>1</v>
      </c>
      <c r="N36" s="27">
        <f t="shared" si="7"/>
        <v>0.8223140495867769</v>
      </c>
    </row>
    <row r="37" spans="1:14" x14ac:dyDescent="0.3">
      <c r="A37" s="23" t="s">
        <v>227</v>
      </c>
      <c r="B37" s="23" t="s">
        <v>127</v>
      </c>
      <c r="C37" s="23" t="s">
        <v>44</v>
      </c>
      <c r="D37" s="25">
        <v>46236</v>
      </c>
      <c r="E37" s="25">
        <v>46249</v>
      </c>
      <c r="F37" s="25">
        <v>46247</v>
      </c>
      <c r="G37" s="23">
        <v>371</v>
      </c>
      <c r="H37" s="23">
        <v>371</v>
      </c>
      <c r="I37" s="23" t="s">
        <v>193</v>
      </c>
      <c r="J37" s="28">
        <v>337.09</v>
      </c>
      <c r="K37" s="26">
        <f t="shared" si="4"/>
        <v>125060.38999999998</v>
      </c>
      <c r="L37" s="16">
        <f t="shared" si="5"/>
        <v>-2</v>
      </c>
      <c r="M37" s="29">
        <f t="shared" si="6"/>
        <v>1</v>
      </c>
      <c r="N37" s="27">
        <f t="shared" si="7"/>
        <v>1</v>
      </c>
    </row>
    <row r="38" spans="1:14" x14ac:dyDescent="0.3">
      <c r="A38" s="23" t="s">
        <v>228</v>
      </c>
      <c r="B38" s="23" t="s">
        <v>158</v>
      </c>
      <c r="C38" s="23" t="s">
        <v>59</v>
      </c>
      <c r="D38" s="25">
        <v>46232</v>
      </c>
      <c r="E38" s="25">
        <v>46272</v>
      </c>
      <c r="F38" s="25">
        <v>46283</v>
      </c>
      <c r="G38" s="23">
        <v>320</v>
      </c>
      <c r="H38" s="23">
        <v>320</v>
      </c>
      <c r="I38" s="23" t="s">
        <v>193</v>
      </c>
      <c r="J38" s="28">
        <v>247.48</v>
      </c>
      <c r="K38" s="26">
        <f t="shared" si="4"/>
        <v>79193.599999999991</v>
      </c>
      <c r="L38" s="16">
        <f t="shared" si="5"/>
        <v>11</v>
      </c>
      <c r="M38" s="29">
        <f t="shared" si="6"/>
        <v>0</v>
      </c>
      <c r="N38" s="27">
        <f t="shared" si="7"/>
        <v>1</v>
      </c>
    </row>
    <row r="39" spans="1:14" x14ac:dyDescent="0.3">
      <c r="A39" s="23" t="s">
        <v>229</v>
      </c>
      <c r="B39" s="23" t="s">
        <v>110</v>
      </c>
      <c r="C39" s="23" t="s">
        <v>44</v>
      </c>
      <c r="D39" s="25">
        <v>46202</v>
      </c>
      <c r="E39" s="25">
        <v>46236</v>
      </c>
      <c r="F39" s="25">
        <v>46235</v>
      </c>
      <c r="G39" s="23">
        <v>265</v>
      </c>
      <c r="H39" s="23">
        <v>265</v>
      </c>
      <c r="I39" s="23" t="s">
        <v>193</v>
      </c>
      <c r="J39" s="28">
        <v>70.47</v>
      </c>
      <c r="K39" s="26">
        <f t="shared" si="4"/>
        <v>18674.55</v>
      </c>
      <c r="L39" s="16">
        <f t="shared" si="5"/>
        <v>-1</v>
      </c>
      <c r="M39" s="29">
        <f t="shared" si="6"/>
        <v>1</v>
      </c>
      <c r="N39" s="27">
        <f t="shared" si="7"/>
        <v>1</v>
      </c>
    </row>
    <row r="40" spans="1:14" x14ac:dyDescent="0.3">
      <c r="A40" s="23" t="s">
        <v>230</v>
      </c>
      <c r="B40" s="23" t="s">
        <v>160</v>
      </c>
      <c r="C40" s="23" t="s">
        <v>59</v>
      </c>
      <c r="D40" s="25">
        <v>46193</v>
      </c>
      <c r="E40" s="25">
        <v>46214</v>
      </c>
      <c r="F40" s="25">
        <v>46213</v>
      </c>
      <c r="G40" s="23">
        <v>143</v>
      </c>
      <c r="H40" s="23">
        <v>143</v>
      </c>
      <c r="I40" s="23" t="s">
        <v>193</v>
      </c>
      <c r="J40" s="28">
        <v>357.59</v>
      </c>
      <c r="K40" s="26">
        <f t="shared" si="4"/>
        <v>51135.369999999995</v>
      </c>
      <c r="L40" s="16">
        <f t="shared" si="5"/>
        <v>-1</v>
      </c>
      <c r="M40" s="29">
        <f t="shared" si="6"/>
        <v>1</v>
      </c>
      <c r="N40" s="27">
        <f t="shared" si="7"/>
        <v>1</v>
      </c>
    </row>
    <row r="41" spans="1:14" x14ac:dyDescent="0.3">
      <c r="A41" s="23" t="s">
        <v>231</v>
      </c>
      <c r="B41" s="23" t="s">
        <v>139</v>
      </c>
      <c r="C41" s="23" t="s">
        <v>56</v>
      </c>
      <c r="D41" s="25">
        <v>46167</v>
      </c>
      <c r="E41" s="25">
        <v>46197</v>
      </c>
      <c r="F41" s="25">
        <v>46195</v>
      </c>
      <c r="G41" s="23">
        <v>424</v>
      </c>
      <c r="H41" s="23">
        <v>424</v>
      </c>
      <c r="I41" s="23" t="s">
        <v>193</v>
      </c>
      <c r="J41" s="28">
        <v>114.5</v>
      </c>
      <c r="K41" s="26">
        <f t="shared" si="4"/>
        <v>48548</v>
      </c>
      <c r="L41" s="16">
        <f t="shared" si="5"/>
        <v>-2</v>
      </c>
      <c r="M41" s="29">
        <f t="shared" si="6"/>
        <v>1</v>
      </c>
      <c r="N41" s="27">
        <f t="shared" si="7"/>
        <v>1</v>
      </c>
    </row>
    <row r="42" spans="1:14" x14ac:dyDescent="0.3">
      <c r="A42" s="23" t="s">
        <v>232</v>
      </c>
      <c r="B42" s="23" t="s">
        <v>173</v>
      </c>
      <c r="C42" s="23" t="s">
        <v>56</v>
      </c>
      <c r="D42" s="25">
        <v>46208</v>
      </c>
      <c r="E42" s="25">
        <v>46233</v>
      </c>
      <c r="F42" s="25">
        <v>46232</v>
      </c>
      <c r="G42" s="23">
        <v>103</v>
      </c>
      <c r="H42" s="23">
        <v>103</v>
      </c>
      <c r="I42" s="23" t="s">
        <v>193</v>
      </c>
      <c r="J42" s="28">
        <v>385.82</v>
      </c>
      <c r="K42" s="26">
        <f t="shared" si="4"/>
        <v>39739.46</v>
      </c>
      <c r="L42" s="16">
        <f t="shared" si="5"/>
        <v>-1</v>
      </c>
      <c r="M42" s="29">
        <f t="shared" si="6"/>
        <v>1</v>
      </c>
      <c r="N42" s="27">
        <f t="shared" si="7"/>
        <v>1</v>
      </c>
    </row>
    <row r="43" spans="1:14" x14ac:dyDescent="0.3">
      <c r="A43" s="23" t="s">
        <v>233</v>
      </c>
      <c r="B43" s="23" t="s">
        <v>145</v>
      </c>
      <c r="C43" s="23" t="s">
        <v>50</v>
      </c>
      <c r="D43" s="25">
        <v>46104</v>
      </c>
      <c r="E43" s="25">
        <v>46108</v>
      </c>
      <c r="F43" s="25">
        <v>46107</v>
      </c>
      <c r="G43" s="23">
        <v>311</v>
      </c>
      <c r="H43" s="23">
        <v>311</v>
      </c>
      <c r="I43" s="23" t="s">
        <v>193</v>
      </c>
      <c r="J43" s="28">
        <v>416.74</v>
      </c>
      <c r="K43" s="26">
        <f t="shared" si="4"/>
        <v>129606.14</v>
      </c>
      <c r="L43" s="16">
        <f t="shared" si="5"/>
        <v>-1</v>
      </c>
      <c r="M43" s="29">
        <f t="shared" si="6"/>
        <v>1</v>
      </c>
      <c r="N43" s="27">
        <f t="shared" si="7"/>
        <v>1</v>
      </c>
    </row>
    <row r="44" spans="1:14" x14ac:dyDescent="0.3">
      <c r="A44" s="23" t="s">
        <v>234</v>
      </c>
      <c r="B44" s="23" t="s">
        <v>150</v>
      </c>
      <c r="C44" s="23" t="s">
        <v>47</v>
      </c>
      <c r="D44" s="25">
        <v>46082</v>
      </c>
      <c r="E44" s="25">
        <v>46087</v>
      </c>
      <c r="F44" s="25">
        <v>46087</v>
      </c>
      <c r="G44" s="23">
        <v>235</v>
      </c>
      <c r="H44" s="23">
        <v>199</v>
      </c>
      <c r="I44" s="23" t="s">
        <v>193</v>
      </c>
      <c r="J44" s="28">
        <v>53.67</v>
      </c>
      <c r="K44" s="26">
        <f t="shared" si="4"/>
        <v>10680.33</v>
      </c>
      <c r="L44" s="16">
        <f t="shared" si="5"/>
        <v>0</v>
      </c>
      <c r="M44" s="29">
        <f t="shared" si="6"/>
        <v>1</v>
      </c>
      <c r="N44" s="27">
        <f t="shared" si="7"/>
        <v>0.84680851063829787</v>
      </c>
    </row>
    <row r="45" spans="1:14" x14ac:dyDescent="0.3">
      <c r="A45" s="23" t="s">
        <v>235</v>
      </c>
      <c r="B45" s="23" t="s">
        <v>164</v>
      </c>
      <c r="C45" s="23" t="s">
        <v>62</v>
      </c>
      <c r="D45" s="25">
        <v>46275</v>
      </c>
      <c r="E45" s="25">
        <v>46284</v>
      </c>
      <c r="F45" s="25"/>
      <c r="G45" s="23">
        <v>494</v>
      </c>
      <c r="H45" s="23">
        <v>0</v>
      </c>
      <c r="I45" s="23" t="s">
        <v>191</v>
      </c>
      <c r="J45" s="28">
        <v>223.48</v>
      </c>
      <c r="K45" s="26">
        <f t="shared" si="4"/>
        <v>0</v>
      </c>
      <c r="L45" s="16" t="str">
        <f t="shared" si="5"/>
        <v/>
      </c>
      <c r="M45" s="29" t="str">
        <f t="shared" si="6"/>
        <v/>
      </c>
      <c r="N45" s="27">
        <f t="shared" si="7"/>
        <v>0</v>
      </c>
    </row>
    <row r="46" spans="1:14" x14ac:dyDescent="0.3">
      <c r="A46" s="23" t="s">
        <v>236</v>
      </c>
      <c r="B46" s="23" t="s">
        <v>113</v>
      </c>
      <c r="C46" s="23" t="s">
        <v>56</v>
      </c>
      <c r="D46" s="25">
        <v>46150</v>
      </c>
      <c r="E46" s="25">
        <v>46165</v>
      </c>
      <c r="F46" s="25">
        <v>46164</v>
      </c>
      <c r="G46" s="23">
        <v>376</v>
      </c>
      <c r="H46" s="23">
        <v>376</v>
      </c>
      <c r="I46" s="23" t="s">
        <v>193</v>
      </c>
      <c r="J46" s="28">
        <v>426.19</v>
      </c>
      <c r="K46" s="26">
        <f t="shared" si="4"/>
        <v>160247.44</v>
      </c>
      <c r="L46" s="16">
        <f t="shared" si="5"/>
        <v>-1</v>
      </c>
      <c r="M46" s="29">
        <f t="shared" si="6"/>
        <v>1</v>
      </c>
      <c r="N46" s="27">
        <f t="shared" si="7"/>
        <v>1</v>
      </c>
    </row>
    <row r="47" spans="1:14" x14ac:dyDescent="0.3">
      <c r="A47" s="23" t="s">
        <v>237</v>
      </c>
      <c r="B47" s="23" t="s">
        <v>102</v>
      </c>
      <c r="C47" s="23" t="s">
        <v>53</v>
      </c>
      <c r="D47" s="25">
        <v>46089</v>
      </c>
      <c r="E47" s="25">
        <v>46100</v>
      </c>
      <c r="F47" s="25">
        <v>46110</v>
      </c>
      <c r="G47" s="23">
        <v>235</v>
      </c>
      <c r="H47" s="23">
        <v>235</v>
      </c>
      <c r="I47" s="23" t="s">
        <v>193</v>
      </c>
      <c r="J47" s="28">
        <v>179.24</v>
      </c>
      <c r="K47" s="26">
        <f t="shared" si="4"/>
        <v>42121.4</v>
      </c>
      <c r="L47" s="16">
        <f t="shared" si="5"/>
        <v>10</v>
      </c>
      <c r="M47" s="29">
        <f t="shared" si="6"/>
        <v>0</v>
      </c>
      <c r="N47" s="27">
        <f t="shared" si="7"/>
        <v>1</v>
      </c>
    </row>
    <row r="48" spans="1:14" x14ac:dyDescent="0.3">
      <c r="A48" s="23" t="s">
        <v>238</v>
      </c>
      <c r="B48" s="23" t="s">
        <v>125</v>
      </c>
      <c r="C48" s="23" t="s">
        <v>65</v>
      </c>
      <c r="D48" s="25">
        <v>46223</v>
      </c>
      <c r="E48" s="25">
        <v>46253</v>
      </c>
      <c r="F48" s="25">
        <v>46252</v>
      </c>
      <c r="G48" s="23">
        <v>246</v>
      </c>
      <c r="H48" s="23">
        <v>246</v>
      </c>
      <c r="I48" s="23" t="s">
        <v>193</v>
      </c>
      <c r="J48" s="28">
        <v>171.78</v>
      </c>
      <c r="K48" s="26">
        <f t="shared" si="4"/>
        <v>42257.88</v>
      </c>
      <c r="L48" s="16">
        <f t="shared" si="5"/>
        <v>-1</v>
      </c>
      <c r="M48" s="29">
        <f t="shared" si="6"/>
        <v>1</v>
      </c>
      <c r="N48" s="27">
        <f t="shared" si="7"/>
        <v>1</v>
      </c>
    </row>
    <row r="49" spans="1:14" x14ac:dyDescent="0.3">
      <c r="A49" s="23" t="s">
        <v>239</v>
      </c>
      <c r="B49" s="23" t="s">
        <v>102</v>
      </c>
      <c r="C49" s="23" t="s">
        <v>53</v>
      </c>
      <c r="D49" s="25">
        <v>46200</v>
      </c>
      <c r="E49" s="25">
        <v>46211</v>
      </c>
      <c r="F49" s="25">
        <v>46222</v>
      </c>
      <c r="G49" s="23">
        <v>235</v>
      </c>
      <c r="H49" s="23">
        <v>235</v>
      </c>
      <c r="I49" s="23" t="s">
        <v>193</v>
      </c>
      <c r="J49" s="28">
        <v>179.24</v>
      </c>
      <c r="K49" s="26">
        <f t="shared" si="4"/>
        <v>42121.4</v>
      </c>
      <c r="L49" s="16">
        <f t="shared" si="5"/>
        <v>11</v>
      </c>
      <c r="M49" s="29">
        <f t="shared" si="6"/>
        <v>0</v>
      </c>
      <c r="N49" s="27">
        <f t="shared" si="7"/>
        <v>1</v>
      </c>
    </row>
    <row r="50" spans="1:14" x14ac:dyDescent="0.3">
      <c r="A50" s="23" t="s">
        <v>240</v>
      </c>
      <c r="B50" s="23" t="s">
        <v>175</v>
      </c>
      <c r="C50" s="23" t="s">
        <v>62</v>
      </c>
      <c r="D50" s="25">
        <v>46156</v>
      </c>
      <c r="E50" s="25">
        <v>46180</v>
      </c>
      <c r="F50" s="25">
        <v>46179</v>
      </c>
      <c r="G50" s="23">
        <v>299</v>
      </c>
      <c r="H50" s="23">
        <v>299</v>
      </c>
      <c r="I50" s="23" t="s">
        <v>193</v>
      </c>
      <c r="J50" s="28">
        <v>220.73</v>
      </c>
      <c r="K50" s="26">
        <f t="shared" si="4"/>
        <v>65998.27</v>
      </c>
      <c r="L50" s="16">
        <f t="shared" si="5"/>
        <v>-1</v>
      </c>
      <c r="M50" s="29">
        <f t="shared" si="6"/>
        <v>1</v>
      </c>
      <c r="N50" s="27">
        <f t="shared" si="7"/>
        <v>1</v>
      </c>
    </row>
    <row r="51" spans="1:14" x14ac:dyDescent="0.3">
      <c r="A51" s="23" t="s">
        <v>241</v>
      </c>
      <c r="B51" s="23" t="s">
        <v>147</v>
      </c>
      <c r="C51" s="23" t="s">
        <v>53</v>
      </c>
      <c r="D51" s="25">
        <v>46144</v>
      </c>
      <c r="E51" s="25">
        <v>46177</v>
      </c>
      <c r="F51" s="25">
        <v>46175</v>
      </c>
      <c r="G51" s="23">
        <v>119</v>
      </c>
      <c r="H51" s="23">
        <v>119</v>
      </c>
      <c r="I51" s="23" t="s">
        <v>193</v>
      </c>
      <c r="J51" s="28">
        <v>121.53</v>
      </c>
      <c r="K51" s="26">
        <f t="shared" si="4"/>
        <v>14462.07</v>
      </c>
      <c r="L51" s="16">
        <f t="shared" si="5"/>
        <v>-2</v>
      </c>
      <c r="M51" s="29">
        <f t="shared" si="6"/>
        <v>1</v>
      </c>
      <c r="N51" s="27">
        <f t="shared" si="7"/>
        <v>1</v>
      </c>
    </row>
    <row r="52" spans="1:14" x14ac:dyDescent="0.3">
      <c r="A52" s="23" t="s">
        <v>242</v>
      </c>
      <c r="B52" s="23" t="s">
        <v>150</v>
      </c>
      <c r="C52" s="23" t="s">
        <v>47</v>
      </c>
      <c r="D52" s="25">
        <v>46273</v>
      </c>
      <c r="E52" s="25">
        <v>46278</v>
      </c>
      <c r="F52" s="25"/>
      <c r="G52" s="23">
        <v>235</v>
      </c>
      <c r="H52" s="23">
        <v>0</v>
      </c>
      <c r="I52" s="23" t="s">
        <v>191</v>
      </c>
      <c r="J52" s="28">
        <v>53.67</v>
      </c>
      <c r="K52" s="26">
        <f t="shared" si="4"/>
        <v>0</v>
      </c>
      <c r="L52" s="16" t="str">
        <f t="shared" si="5"/>
        <v/>
      </c>
      <c r="M52" s="29" t="str">
        <f t="shared" si="6"/>
        <v/>
      </c>
      <c r="N52" s="27">
        <f t="shared" si="7"/>
        <v>0</v>
      </c>
    </row>
    <row r="53" spans="1:14" x14ac:dyDescent="0.3">
      <c r="A53" s="23" t="s">
        <v>243</v>
      </c>
      <c r="B53" s="23" t="s">
        <v>139</v>
      </c>
      <c r="C53" s="23" t="s">
        <v>56</v>
      </c>
      <c r="D53" s="25">
        <v>46169</v>
      </c>
      <c r="E53" s="25">
        <v>46199</v>
      </c>
      <c r="F53" s="25">
        <v>46208</v>
      </c>
      <c r="G53" s="23">
        <v>424</v>
      </c>
      <c r="H53" s="23">
        <v>386</v>
      </c>
      <c r="I53" s="23" t="s">
        <v>193</v>
      </c>
      <c r="J53" s="28">
        <v>114.5</v>
      </c>
      <c r="K53" s="26">
        <f t="shared" si="4"/>
        <v>44197</v>
      </c>
      <c r="L53" s="16">
        <f t="shared" si="5"/>
        <v>9</v>
      </c>
      <c r="M53" s="29">
        <f t="shared" si="6"/>
        <v>0</v>
      </c>
      <c r="N53" s="27">
        <f t="shared" si="7"/>
        <v>0.910377358490566</v>
      </c>
    </row>
    <row r="54" spans="1:14" x14ac:dyDescent="0.3">
      <c r="A54" s="23" t="s">
        <v>244</v>
      </c>
      <c r="B54" s="23" t="s">
        <v>160</v>
      </c>
      <c r="C54" s="23" t="s">
        <v>59</v>
      </c>
      <c r="D54" s="25">
        <v>46230</v>
      </c>
      <c r="E54" s="25">
        <v>46251</v>
      </c>
      <c r="F54" s="25">
        <v>46259</v>
      </c>
      <c r="G54" s="23">
        <v>143</v>
      </c>
      <c r="H54" s="23">
        <v>143</v>
      </c>
      <c r="I54" s="23" t="s">
        <v>193</v>
      </c>
      <c r="J54" s="28">
        <v>357.59</v>
      </c>
      <c r="K54" s="26">
        <f t="shared" si="4"/>
        <v>51135.369999999995</v>
      </c>
      <c r="L54" s="16">
        <f t="shared" si="5"/>
        <v>8</v>
      </c>
      <c r="M54" s="29">
        <f t="shared" si="6"/>
        <v>0</v>
      </c>
      <c r="N54" s="27">
        <f t="shared" si="7"/>
        <v>1</v>
      </c>
    </row>
    <row r="55" spans="1:14" x14ac:dyDescent="0.3">
      <c r="A55" s="23" t="s">
        <v>245</v>
      </c>
      <c r="B55" s="23" t="s">
        <v>147</v>
      </c>
      <c r="C55" s="23" t="s">
        <v>53</v>
      </c>
      <c r="D55" s="25">
        <v>46170</v>
      </c>
      <c r="E55" s="25">
        <v>46203</v>
      </c>
      <c r="F55" s="25">
        <v>46203</v>
      </c>
      <c r="G55" s="23">
        <v>119</v>
      </c>
      <c r="H55" s="23">
        <v>119</v>
      </c>
      <c r="I55" s="23" t="s">
        <v>193</v>
      </c>
      <c r="J55" s="28">
        <v>121.53</v>
      </c>
      <c r="K55" s="26">
        <f t="shared" si="4"/>
        <v>14462.07</v>
      </c>
      <c r="L55" s="16">
        <f t="shared" si="5"/>
        <v>0</v>
      </c>
      <c r="M55" s="29">
        <f t="shared" si="6"/>
        <v>1</v>
      </c>
      <c r="N55" s="27">
        <f t="shared" si="7"/>
        <v>1</v>
      </c>
    </row>
    <row r="56" spans="1:14" x14ac:dyDescent="0.3">
      <c r="A56" s="23" t="s">
        <v>246</v>
      </c>
      <c r="B56" s="23" t="s">
        <v>111</v>
      </c>
      <c r="C56" s="23" t="s">
        <v>47</v>
      </c>
      <c r="D56" s="25">
        <v>46260</v>
      </c>
      <c r="E56" s="25">
        <v>46294</v>
      </c>
      <c r="F56" s="25">
        <v>46293</v>
      </c>
      <c r="G56" s="23">
        <v>474</v>
      </c>
      <c r="H56" s="23">
        <v>474</v>
      </c>
      <c r="I56" s="23" t="s">
        <v>193</v>
      </c>
      <c r="J56" s="28">
        <v>109.91</v>
      </c>
      <c r="K56" s="26">
        <f t="shared" si="4"/>
        <v>52097.34</v>
      </c>
      <c r="L56" s="16">
        <f t="shared" si="5"/>
        <v>-1</v>
      </c>
      <c r="M56" s="29">
        <f t="shared" si="6"/>
        <v>1</v>
      </c>
      <c r="N56" s="27">
        <f t="shared" si="7"/>
        <v>1</v>
      </c>
    </row>
    <row r="57" spans="1:14" x14ac:dyDescent="0.3">
      <c r="A57" s="23" t="s">
        <v>247</v>
      </c>
      <c r="B57" s="23" t="s">
        <v>86</v>
      </c>
      <c r="C57" s="23" t="s">
        <v>47</v>
      </c>
      <c r="D57" s="25">
        <v>46163</v>
      </c>
      <c r="E57" s="25">
        <v>46190</v>
      </c>
      <c r="F57" s="25">
        <v>46202</v>
      </c>
      <c r="G57" s="23">
        <v>147</v>
      </c>
      <c r="H57" s="23">
        <v>147</v>
      </c>
      <c r="I57" s="23" t="s">
        <v>193</v>
      </c>
      <c r="J57" s="28">
        <v>154.43</v>
      </c>
      <c r="K57" s="26">
        <f t="shared" si="4"/>
        <v>22701.210000000003</v>
      </c>
      <c r="L57" s="16">
        <f t="shared" si="5"/>
        <v>12</v>
      </c>
      <c r="M57" s="29">
        <f t="shared" si="6"/>
        <v>0</v>
      </c>
      <c r="N57" s="27">
        <f t="shared" si="7"/>
        <v>1</v>
      </c>
    </row>
    <row r="58" spans="1:14" x14ac:dyDescent="0.3">
      <c r="A58" s="23" t="s">
        <v>248</v>
      </c>
      <c r="B58" s="23" t="s">
        <v>170</v>
      </c>
      <c r="C58" s="23" t="s">
        <v>59</v>
      </c>
      <c r="D58" s="25">
        <v>46248</v>
      </c>
      <c r="E58" s="25">
        <v>46272</v>
      </c>
      <c r="F58" s="25">
        <v>46280</v>
      </c>
      <c r="G58" s="23">
        <v>239</v>
      </c>
      <c r="H58" s="23">
        <v>239</v>
      </c>
      <c r="I58" s="23" t="s">
        <v>193</v>
      </c>
      <c r="J58" s="28">
        <v>125.02</v>
      </c>
      <c r="K58" s="26">
        <f t="shared" si="4"/>
        <v>29879.78</v>
      </c>
      <c r="L58" s="16">
        <f t="shared" si="5"/>
        <v>8</v>
      </c>
      <c r="M58" s="29">
        <f t="shared" si="6"/>
        <v>0</v>
      </c>
      <c r="N58" s="27">
        <f t="shared" si="7"/>
        <v>1</v>
      </c>
    </row>
    <row r="59" spans="1:14" x14ac:dyDescent="0.3">
      <c r="A59" s="23" t="s">
        <v>249</v>
      </c>
      <c r="B59" s="23" t="s">
        <v>160</v>
      </c>
      <c r="C59" s="23" t="s">
        <v>59</v>
      </c>
      <c r="D59" s="25">
        <v>46166</v>
      </c>
      <c r="E59" s="25">
        <v>46187</v>
      </c>
      <c r="F59" s="25">
        <v>46195</v>
      </c>
      <c r="G59" s="23">
        <v>143</v>
      </c>
      <c r="H59" s="23">
        <v>143</v>
      </c>
      <c r="I59" s="23" t="s">
        <v>193</v>
      </c>
      <c r="J59" s="28">
        <v>357.59</v>
      </c>
      <c r="K59" s="26">
        <f t="shared" si="4"/>
        <v>51135.369999999995</v>
      </c>
      <c r="L59" s="16">
        <f t="shared" si="5"/>
        <v>8</v>
      </c>
      <c r="M59" s="29">
        <f t="shared" si="6"/>
        <v>0</v>
      </c>
      <c r="N59" s="27">
        <f t="shared" si="7"/>
        <v>1</v>
      </c>
    </row>
    <row r="60" spans="1:14" x14ac:dyDescent="0.3">
      <c r="A60" s="23" t="s">
        <v>250</v>
      </c>
      <c r="B60" s="23" t="s">
        <v>78</v>
      </c>
      <c r="C60" s="23" t="s">
        <v>47</v>
      </c>
      <c r="D60" s="25">
        <v>46266</v>
      </c>
      <c r="E60" s="25">
        <v>46303</v>
      </c>
      <c r="F60" s="25">
        <v>46303</v>
      </c>
      <c r="G60" s="23">
        <v>152</v>
      </c>
      <c r="H60" s="23">
        <v>140</v>
      </c>
      <c r="I60" s="23" t="s">
        <v>193</v>
      </c>
      <c r="J60" s="28">
        <v>334.21</v>
      </c>
      <c r="K60" s="26">
        <f t="shared" si="4"/>
        <v>46789.399999999994</v>
      </c>
      <c r="L60" s="16">
        <f t="shared" si="5"/>
        <v>0</v>
      </c>
      <c r="M60" s="29">
        <f t="shared" si="6"/>
        <v>1</v>
      </c>
      <c r="N60" s="27">
        <f t="shared" si="7"/>
        <v>0.92105263157894735</v>
      </c>
    </row>
    <row r="61" spans="1:14" x14ac:dyDescent="0.3">
      <c r="A61" s="23" t="s">
        <v>251</v>
      </c>
      <c r="B61" s="23" t="s">
        <v>119</v>
      </c>
      <c r="C61" s="23" t="s">
        <v>47</v>
      </c>
      <c r="D61" s="25">
        <v>46168</v>
      </c>
      <c r="E61" s="25">
        <v>46174</v>
      </c>
      <c r="F61" s="25">
        <v>46173</v>
      </c>
      <c r="G61" s="23">
        <v>339</v>
      </c>
      <c r="H61" s="23">
        <v>339</v>
      </c>
      <c r="I61" s="23" t="s">
        <v>193</v>
      </c>
      <c r="J61" s="28">
        <v>45.43</v>
      </c>
      <c r="K61" s="26">
        <f t="shared" si="4"/>
        <v>15400.77</v>
      </c>
      <c r="L61" s="16">
        <f t="shared" si="5"/>
        <v>-1</v>
      </c>
      <c r="M61" s="29">
        <f t="shared" si="6"/>
        <v>1</v>
      </c>
      <c r="N61" s="27">
        <f t="shared" si="7"/>
        <v>1</v>
      </c>
    </row>
    <row r="62" spans="1:14" x14ac:dyDescent="0.3">
      <c r="A62" s="23" t="s">
        <v>252</v>
      </c>
      <c r="B62" s="23" t="s">
        <v>172</v>
      </c>
      <c r="C62" s="23" t="s">
        <v>65</v>
      </c>
      <c r="D62" s="25">
        <v>46218</v>
      </c>
      <c r="E62" s="25">
        <v>46242</v>
      </c>
      <c r="F62" s="25">
        <v>46241</v>
      </c>
      <c r="G62" s="23">
        <v>308</v>
      </c>
      <c r="H62" s="23">
        <v>308</v>
      </c>
      <c r="I62" s="23" t="s">
        <v>193</v>
      </c>
      <c r="J62" s="28">
        <v>312.89</v>
      </c>
      <c r="K62" s="26">
        <f t="shared" si="4"/>
        <v>96370.12</v>
      </c>
      <c r="L62" s="16">
        <f t="shared" si="5"/>
        <v>-1</v>
      </c>
      <c r="M62" s="29">
        <f t="shared" si="6"/>
        <v>1</v>
      </c>
      <c r="N62" s="27">
        <f t="shared" si="7"/>
        <v>1</v>
      </c>
    </row>
    <row r="63" spans="1:14" x14ac:dyDescent="0.3">
      <c r="A63" s="23" t="s">
        <v>253</v>
      </c>
      <c r="B63" s="23" t="s">
        <v>149</v>
      </c>
      <c r="C63" s="23" t="s">
        <v>59</v>
      </c>
      <c r="D63" s="25">
        <v>46220</v>
      </c>
      <c r="E63" s="25">
        <v>46240</v>
      </c>
      <c r="F63" s="25">
        <v>46238</v>
      </c>
      <c r="G63" s="23">
        <v>135</v>
      </c>
      <c r="H63" s="23">
        <v>135</v>
      </c>
      <c r="I63" s="23" t="s">
        <v>193</v>
      </c>
      <c r="J63" s="28">
        <v>12.6</v>
      </c>
      <c r="K63" s="26">
        <f t="shared" si="4"/>
        <v>1701</v>
      </c>
      <c r="L63" s="16">
        <f t="shared" si="5"/>
        <v>-2</v>
      </c>
      <c r="M63" s="29">
        <f t="shared" si="6"/>
        <v>1</v>
      </c>
      <c r="N63" s="27">
        <f t="shared" si="7"/>
        <v>1</v>
      </c>
    </row>
    <row r="64" spans="1:14" x14ac:dyDescent="0.3">
      <c r="A64" s="23" t="s">
        <v>254</v>
      </c>
      <c r="B64" s="23" t="s">
        <v>123</v>
      </c>
      <c r="C64" s="23" t="s">
        <v>50</v>
      </c>
      <c r="D64" s="25">
        <v>46140</v>
      </c>
      <c r="E64" s="25">
        <v>46158</v>
      </c>
      <c r="F64" s="25">
        <v>46165</v>
      </c>
      <c r="G64" s="23">
        <v>485</v>
      </c>
      <c r="H64" s="23">
        <v>485</v>
      </c>
      <c r="I64" s="23" t="s">
        <v>193</v>
      </c>
      <c r="J64" s="28">
        <v>294.16000000000003</v>
      </c>
      <c r="K64" s="26">
        <f t="shared" si="4"/>
        <v>142667.6</v>
      </c>
      <c r="L64" s="16">
        <f t="shared" si="5"/>
        <v>7</v>
      </c>
      <c r="M64" s="29">
        <f t="shared" si="6"/>
        <v>0</v>
      </c>
      <c r="N64" s="27">
        <f t="shared" si="7"/>
        <v>1</v>
      </c>
    </row>
    <row r="65" spans="1:14" x14ac:dyDescent="0.3">
      <c r="A65" s="23" t="s">
        <v>255</v>
      </c>
      <c r="B65" s="23" t="s">
        <v>175</v>
      </c>
      <c r="C65" s="23" t="s">
        <v>62</v>
      </c>
      <c r="D65" s="25">
        <v>46107</v>
      </c>
      <c r="E65" s="25">
        <v>46131</v>
      </c>
      <c r="F65" s="25">
        <v>46131</v>
      </c>
      <c r="G65" s="23">
        <v>299</v>
      </c>
      <c r="H65" s="23">
        <v>237</v>
      </c>
      <c r="I65" s="23" t="s">
        <v>193</v>
      </c>
      <c r="J65" s="28">
        <v>220.73</v>
      </c>
      <c r="K65" s="26">
        <f t="shared" si="4"/>
        <v>52313.009999999995</v>
      </c>
      <c r="L65" s="16">
        <f t="shared" si="5"/>
        <v>0</v>
      </c>
      <c r="M65" s="29">
        <f t="shared" si="6"/>
        <v>1</v>
      </c>
      <c r="N65" s="27">
        <f t="shared" si="7"/>
        <v>0.79264214046822745</v>
      </c>
    </row>
    <row r="66" spans="1:14" x14ac:dyDescent="0.3">
      <c r="A66" s="23" t="s">
        <v>256</v>
      </c>
      <c r="B66" s="23" t="s">
        <v>90</v>
      </c>
      <c r="C66" s="23" t="s">
        <v>59</v>
      </c>
      <c r="D66" s="25">
        <v>46157</v>
      </c>
      <c r="E66" s="25">
        <v>46178</v>
      </c>
      <c r="F66" s="25">
        <v>46177</v>
      </c>
      <c r="G66" s="23">
        <v>382</v>
      </c>
      <c r="H66" s="23">
        <v>382</v>
      </c>
      <c r="I66" s="23" t="s">
        <v>193</v>
      </c>
      <c r="J66" s="28">
        <v>242.23</v>
      </c>
      <c r="K66" s="26">
        <f t="shared" ref="K66:K97" si="8">H66*J66</f>
        <v>92531.86</v>
      </c>
      <c r="L66" s="16">
        <f t="shared" ref="L66:L91" si="9">IF(F66="","",F66-E66)</f>
        <v>-1</v>
      </c>
      <c r="M66" s="29">
        <f t="shared" ref="M66:M97" si="10">IF(F66="","",IF(L66&lt;=0,1,0))</f>
        <v>1</v>
      </c>
      <c r="N66" s="27">
        <f t="shared" ref="N66:N91" si="11">IF(G66=0,"",H66/G66)</f>
        <v>1</v>
      </c>
    </row>
    <row r="67" spans="1:14" x14ac:dyDescent="0.3">
      <c r="A67" s="23" t="s">
        <v>257</v>
      </c>
      <c r="B67" s="23" t="s">
        <v>158</v>
      </c>
      <c r="C67" s="23" t="s">
        <v>59</v>
      </c>
      <c r="D67" s="25">
        <v>46256</v>
      </c>
      <c r="E67" s="25">
        <v>46296</v>
      </c>
      <c r="F67" s="25">
        <v>46299</v>
      </c>
      <c r="G67" s="23">
        <v>320</v>
      </c>
      <c r="H67" s="23">
        <v>320</v>
      </c>
      <c r="I67" s="23" t="s">
        <v>193</v>
      </c>
      <c r="J67" s="28">
        <v>247.48</v>
      </c>
      <c r="K67" s="26">
        <f t="shared" si="8"/>
        <v>79193.599999999991</v>
      </c>
      <c r="L67" s="16">
        <f t="shared" si="9"/>
        <v>3</v>
      </c>
      <c r="M67" s="29">
        <f t="shared" si="10"/>
        <v>0</v>
      </c>
      <c r="N67" s="27">
        <f t="shared" si="11"/>
        <v>1</v>
      </c>
    </row>
    <row r="68" spans="1:14" x14ac:dyDescent="0.3">
      <c r="A68" s="23" t="s">
        <v>258</v>
      </c>
      <c r="B68" s="23" t="s">
        <v>135</v>
      </c>
      <c r="C68" s="23" t="s">
        <v>44</v>
      </c>
      <c r="D68" s="25">
        <v>46240</v>
      </c>
      <c r="E68" s="25">
        <v>46276</v>
      </c>
      <c r="F68" s="25">
        <v>46275</v>
      </c>
      <c r="G68" s="23">
        <v>434</v>
      </c>
      <c r="H68" s="23">
        <v>434</v>
      </c>
      <c r="I68" s="23" t="s">
        <v>193</v>
      </c>
      <c r="J68" s="28">
        <v>72.67</v>
      </c>
      <c r="K68" s="26">
        <f t="shared" si="8"/>
        <v>31538.780000000002</v>
      </c>
      <c r="L68" s="16">
        <f t="shared" si="9"/>
        <v>-1</v>
      </c>
      <c r="M68" s="29">
        <f t="shared" si="10"/>
        <v>1</v>
      </c>
      <c r="N68" s="27">
        <f t="shared" si="11"/>
        <v>1</v>
      </c>
    </row>
    <row r="69" spans="1:14" x14ac:dyDescent="0.3">
      <c r="A69" s="23" t="s">
        <v>259</v>
      </c>
      <c r="B69" s="23" t="s">
        <v>145</v>
      </c>
      <c r="C69" s="23" t="s">
        <v>50</v>
      </c>
      <c r="D69" s="25">
        <v>46245</v>
      </c>
      <c r="E69" s="25">
        <v>46249</v>
      </c>
      <c r="F69" s="25">
        <v>46248</v>
      </c>
      <c r="G69" s="23">
        <v>311</v>
      </c>
      <c r="H69" s="23">
        <v>311</v>
      </c>
      <c r="I69" s="23" t="s">
        <v>193</v>
      </c>
      <c r="J69" s="28">
        <v>416.74</v>
      </c>
      <c r="K69" s="26">
        <f t="shared" si="8"/>
        <v>129606.14</v>
      </c>
      <c r="L69" s="16">
        <f t="shared" si="9"/>
        <v>-1</v>
      </c>
      <c r="M69" s="29">
        <f t="shared" si="10"/>
        <v>1</v>
      </c>
      <c r="N69" s="27">
        <f t="shared" si="11"/>
        <v>1</v>
      </c>
    </row>
    <row r="70" spans="1:14" x14ac:dyDescent="0.3">
      <c r="A70" s="23" t="s">
        <v>260</v>
      </c>
      <c r="B70" s="23" t="s">
        <v>145</v>
      </c>
      <c r="C70" s="23" t="s">
        <v>50</v>
      </c>
      <c r="D70" s="25">
        <v>46155</v>
      </c>
      <c r="E70" s="25">
        <v>46159</v>
      </c>
      <c r="F70" s="25">
        <v>46157</v>
      </c>
      <c r="G70" s="23">
        <v>311</v>
      </c>
      <c r="H70" s="23">
        <v>311</v>
      </c>
      <c r="I70" s="23" t="s">
        <v>193</v>
      </c>
      <c r="J70" s="28">
        <v>416.74</v>
      </c>
      <c r="K70" s="26">
        <f t="shared" si="8"/>
        <v>129606.14</v>
      </c>
      <c r="L70" s="16">
        <f t="shared" si="9"/>
        <v>-2</v>
      </c>
      <c r="M70" s="29">
        <f t="shared" si="10"/>
        <v>1</v>
      </c>
      <c r="N70" s="27">
        <f t="shared" si="11"/>
        <v>1</v>
      </c>
    </row>
    <row r="71" spans="1:14" x14ac:dyDescent="0.3">
      <c r="A71" s="23" t="s">
        <v>261</v>
      </c>
      <c r="B71" s="23" t="s">
        <v>160</v>
      </c>
      <c r="C71" s="23" t="s">
        <v>59</v>
      </c>
      <c r="D71" s="25">
        <v>46158</v>
      </c>
      <c r="E71" s="25">
        <v>46179</v>
      </c>
      <c r="F71" s="25">
        <v>46178</v>
      </c>
      <c r="G71" s="23">
        <v>143</v>
      </c>
      <c r="H71" s="23">
        <v>143</v>
      </c>
      <c r="I71" s="23" t="s">
        <v>193</v>
      </c>
      <c r="J71" s="28">
        <v>357.59</v>
      </c>
      <c r="K71" s="26">
        <f t="shared" si="8"/>
        <v>51135.369999999995</v>
      </c>
      <c r="L71" s="16">
        <f t="shared" si="9"/>
        <v>-1</v>
      </c>
      <c r="M71" s="29">
        <f t="shared" si="10"/>
        <v>1</v>
      </c>
      <c r="N71" s="27">
        <f t="shared" si="11"/>
        <v>1</v>
      </c>
    </row>
    <row r="72" spans="1:14" x14ac:dyDescent="0.3">
      <c r="A72" s="23" t="s">
        <v>262</v>
      </c>
      <c r="B72" s="23" t="s">
        <v>125</v>
      </c>
      <c r="C72" s="23" t="s">
        <v>65</v>
      </c>
      <c r="D72" s="25">
        <v>46132</v>
      </c>
      <c r="E72" s="25">
        <v>46162</v>
      </c>
      <c r="F72" s="25">
        <v>46170</v>
      </c>
      <c r="G72" s="23">
        <v>246</v>
      </c>
      <c r="H72" s="23">
        <v>246</v>
      </c>
      <c r="I72" s="23" t="s">
        <v>193</v>
      </c>
      <c r="J72" s="28">
        <v>171.78</v>
      </c>
      <c r="K72" s="26">
        <f t="shared" si="8"/>
        <v>42257.88</v>
      </c>
      <c r="L72" s="16">
        <f t="shared" si="9"/>
        <v>8</v>
      </c>
      <c r="M72" s="29">
        <f t="shared" si="10"/>
        <v>0</v>
      </c>
      <c r="N72" s="27">
        <f t="shared" si="11"/>
        <v>1</v>
      </c>
    </row>
    <row r="73" spans="1:14" x14ac:dyDescent="0.3">
      <c r="A73" s="23" t="s">
        <v>263</v>
      </c>
      <c r="B73" s="23" t="s">
        <v>131</v>
      </c>
      <c r="C73" s="23" t="s">
        <v>50</v>
      </c>
      <c r="D73" s="25">
        <v>46229</v>
      </c>
      <c r="E73" s="25">
        <v>46257</v>
      </c>
      <c r="F73" s="25">
        <v>46257</v>
      </c>
      <c r="G73" s="23">
        <v>235</v>
      </c>
      <c r="H73" s="23">
        <v>235</v>
      </c>
      <c r="I73" s="23" t="s">
        <v>193</v>
      </c>
      <c r="J73" s="28">
        <v>420.75</v>
      </c>
      <c r="K73" s="26">
        <f t="shared" si="8"/>
        <v>98876.25</v>
      </c>
      <c r="L73" s="16">
        <f t="shared" si="9"/>
        <v>0</v>
      </c>
      <c r="M73" s="29">
        <f t="shared" si="10"/>
        <v>1</v>
      </c>
      <c r="N73" s="27">
        <f t="shared" si="11"/>
        <v>1</v>
      </c>
    </row>
    <row r="74" spans="1:14" x14ac:dyDescent="0.3">
      <c r="A74" s="23" t="s">
        <v>264</v>
      </c>
      <c r="B74" s="23" t="s">
        <v>170</v>
      </c>
      <c r="C74" s="23" t="s">
        <v>59</v>
      </c>
      <c r="D74" s="25">
        <v>46183</v>
      </c>
      <c r="E74" s="25">
        <v>46207</v>
      </c>
      <c r="F74" s="25">
        <v>46207</v>
      </c>
      <c r="G74" s="23">
        <v>239</v>
      </c>
      <c r="H74" s="23">
        <v>239</v>
      </c>
      <c r="I74" s="23" t="s">
        <v>193</v>
      </c>
      <c r="J74" s="28">
        <v>125.02</v>
      </c>
      <c r="K74" s="26">
        <f t="shared" si="8"/>
        <v>29879.78</v>
      </c>
      <c r="L74" s="16">
        <f t="shared" si="9"/>
        <v>0</v>
      </c>
      <c r="M74" s="29">
        <f t="shared" si="10"/>
        <v>1</v>
      </c>
      <c r="N74" s="27">
        <f t="shared" si="11"/>
        <v>1</v>
      </c>
    </row>
    <row r="75" spans="1:14" x14ac:dyDescent="0.3">
      <c r="A75" s="23" t="s">
        <v>265</v>
      </c>
      <c r="B75" s="23" t="s">
        <v>90</v>
      </c>
      <c r="C75" s="23" t="s">
        <v>59</v>
      </c>
      <c r="D75" s="25">
        <v>46237</v>
      </c>
      <c r="E75" s="25">
        <v>46258</v>
      </c>
      <c r="F75" s="25">
        <v>46263</v>
      </c>
      <c r="G75" s="23">
        <v>382</v>
      </c>
      <c r="H75" s="23">
        <v>382</v>
      </c>
      <c r="I75" s="23" t="s">
        <v>193</v>
      </c>
      <c r="J75" s="28">
        <v>242.23</v>
      </c>
      <c r="K75" s="26">
        <f t="shared" si="8"/>
        <v>92531.86</v>
      </c>
      <c r="L75" s="16">
        <f t="shared" si="9"/>
        <v>5</v>
      </c>
      <c r="M75" s="29">
        <f t="shared" si="10"/>
        <v>0</v>
      </c>
      <c r="N75" s="27">
        <f t="shared" si="11"/>
        <v>1</v>
      </c>
    </row>
    <row r="76" spans="1:14" x14ac:dyDescent="0.3">
      <c r="A76" s="23" t="s">
        <v>266</v>
      </c>
      <c r="B76" s="23" t="s">
        <v>131</v>
      </c>
      <c r="C76" s="23" t="s">
        <v>50</v>
      </c>
      <c r="D76" s="25">
        <v>46138</v>
      </c>
      <c r="E76" s="25">
        <v>46166</v>
      </c>
      <c r="F76" s="25">
        <v>46166</v>
      </c>
      <c r="G76" s="23">
        <v>235</v>
      </c>
      <c r="H76" s="23">
        <v>235</v>
      </c>
      <c r="I76" s="23" t="s">
        <v>193</v>
      </c>
      <c r="J76" s="28">
        <v>420.75</v>
      </c>
      <c r="K76" s="26">
        <f t="shared" si="8"/>
        <v>98876.25</v>
      </c>
      <c r="L76" s="16">
        <f t="shared" si="9"/>
        <v>0</v>
      </c>
      <c r="M76" s="29">
        <f t="shared" si="10"/>
        <v>1</v>
      </c>
      <c r="N76" s="27">
        <f t="shared" si="11"/>
        <v>1</v>
      </c>
    </row>
    <row r="77" spans="1:14" x14ac:dyDescent="0.3">
      <c r="A77" s="23" t="s">
        <v>267</v>
      </c>
      <c r="B77" s="23" t="s">
        <v>170</v>
      </c>
      <c r="C77" s="23" t="s">
        <v>59</v>
      </c>
      <c r="D77" s="25">
        <v>46256</v>
      </c>
      <c r="E77" s="25">
        <v>46280</v>
      </c>
      <c r="F77" s="25">
        <v>46291</v>
      </c>
      <c r="G77" s="23">
        <v>239</v>
      </c>
      <c r="H77" s="23">
        <v>239</v>
      </c>
      <c r="I77" s="23" t="s">
        <v>193</v>
      </c>
      <c r="J77" s="28">
        <v>125.02</v>
      </c>
      <c r="K77" s="26">
        <f t="shared" si="8"/>
        <v>29879.78</v>
      </c>
      <c r="L77" s="16">
        <f t="shared" si="9"/>
        <v>11</v>
      </c>
      <c r="M77" s="29">
        <f t="shared" si="10"/>
        <v>0</v>
      </c>
      <c r="N77" s="27">
        <f t="shared" si="11"/>
        <v>1</v>
      </c>
    </row>
    <row r="78" spans="1:14" x14ac:dyDescent="0.3">
      <c r="A78" s="23" t="s">
        <v>268</v>
      </c>
      <c r="B78" s="23" t="s">
        <v>86</v>
      </c>
      <c r="C78" s="23" t="s">
        <v>47</v>
      </c>
      <c r="D78" s="25">
        <v>46161</v>
      </c>
      <c r="E78" s="25">
        <v>46188</v>
      </c>
      <c r="F78" s="25">
        <v>46189</v>
      </c>
      <c r="G78" s="23">
        <v>147</v>
      </c>
      <c r="H78" s="23">
        <v>147</v>
      </c>
      <c r="I78" s="23" t="s">
        <v>193</v>
      </c>
      <c r="J78" s="28">
        <v>154.43</v>
      </c>
      <c r="K78" s="26">
        <f t="shared" si="8"/>
        <v>22701.210000000003</v>
      </c>
      <c r="L78" s="16">
        <f t="shared" si="9"/>
        <v>1</v>
      </c>
      <c r="M78" s="29">
        <f t="shared" si="10"/>
        <v>0</v>
      </c>
      <c r="N78" s="27">
        <f t="shared" si="11"/>
        <v>1</v>
      </c>
    </row>
    <row r="79" spans="1:14" x14ac:dyDescent="0.3">
      <c r="A79" s="23" t="s">
        <v>269</v>
      </c>
      <c r="B79" s="23" t="s">
        <v>97</v>
      </c>
      <c r="C79" s="23" t="s">
        <v>56</v>
      </c>
      <c r="D79" s="25">
        <v>46157</v>
      </c>
      <c r="E79" s="25">
        <v>46184</v>
      </c>
      <c r="F79" s="25">
        <v>46183</v>
      </c>
      <c r="G79" s="23">
        <v>336</v>
      </c>
      <c r="H79" s="23">
        <v>336</v>
      </c>
      <c r="I79" s="23" t="s">
        <v>193</v>
      </c>
      <c r="J79" s="28">
        <v>274.89</v>
      </c>
      <c r="K79" s="26">
        <f t="shared" si="8"/>
        <v>92363.04</v>
      </c>
      <c r="L79" s="16">
        <f t="shared" si="9"/>
        <v>-1</v>
      </c>
      <c r="M79" s="29">
        <f t="shared" si="10"/>
        <v>1</v>
      </c>
      <c r="N79" s="27">
        <f t="shared" si="11"/>
        <v>1</v>
      </c>
    </row>
    <row r="80" spans="1:14" x14ac:dyDescent="0.3">
      <c r="A80" s="23" t="s">
        <v>270</v>
      </c>
      <c r="B80" s="23" t="s">
        <v>154</v>
      </c>
      <c r="C80" s="23" t="s">
        <v>47</v>
      </c>
      <c r="D80" s="25">
        <v>46175</v>
      </c>
      <c r="E80" s="25">
        <v>46220</v>
      </c>
      <c r="F80" s="25">
        <v>46219</v>
      </c>
      <c r="G80" s="23">
        <v>260</v>
      </c>
      <c r="H80" s="23">
        <v>260</v>
      </c>
      <c r="I80" s="23" t="s">
        <v>193</v>
      </c>
      <c r="J80" s="28">
        <v>165.17</v>
      </c>
      <c r="K80" s="26">
        <f t="shared" si="8"/>
        <v>42944.2</v>
      </c>
      <c r="L80" s="16">
        <f t="shared" si="9"/>
        <v>-1</v>
      </c>
      <c r="M80" s="29">
        <f t="shared" si="10"/>
        <v>1</v>
      </c>
      <c r="N80" s="27">
        <f t="shared" si="11"/>
        <v>1</v>
      </c>
    </row>
    <row r="81" spans="1:14" x14ac:dyDescent="0.3">
      <c r="A81" s="23" t="s">
        <v>271</v>
      </c>
      <c r="B81" s="23" t="s">
        <v>147</v>
      </c>
      <c r="C81" s="23" t="s">
        <v>53</v>
      </c>
      <c r="D81" s="25">
        <v>46157</v>
      </c>
      <c r="E81" s="25">
        <v>46190</v>
      </c>
      <c r="F81" s="25">
        <v>46196</v>
      </c>
      <c r="G81" s="23">
        <v>119</v>
      </c>
      <c r="H81" s="23">
        <v>119</v>
      </c>
      <c r="I81" s="23" t="s">
        <v>193</v>
      </c>
      <c r="J81" s="28">
        <v>121.53</v>
      </c>
      <c r="K81" s="26">
        <f t="shared" si="8"/>
        <v>14462.07</v>
      </c>
      <c r="L81" s="16">
        <f t="shared" si="9"/>
        <v>6</v>
      </c>
      <c r="M81" s="29">
        <f t="shared" si="10"/>
        <v>0</v>
      </c>
      <c r="N81" s="27">
        <f t="shared" si="11"/>
        <v>1</v>
      </c>
    </row>
    <row r="82" spans="1:14" x14ac:dyDescent="0.3">
      <c r="A82" s="23" t="s">
        <v>272</v>
      </c>
      <c r="B82" s="23" t="s">
        <v>93</v>
      </c>
      <c r="C82" s="23" t="s">
        <v>59</v>
      </c>
      <c r="D82" s="25">
        <v>46118</v>
      </c>
      <c r="E82" s="25">
        <v>46150</v>
      </c>
      <c r="F82" s="25">
        <v>46154</v>
      </c>
      <c r="G82" s="23">
        <v>242</v>
      </c>
      <c r="H82" s="23">
        <v>242</v>
      </c>
      <c r="I82" s="23" t="s">
        <v>193</v>
      </c>
      <c r="J82" s="28">
        <v>443.38</v>
      </c>
      <c r="K82" s="26">
        <f t="shared" si="8"/>
        <v>107297.95999999999</v>
      </c>
      <c r="L82" s="16">
        <f t="shared" si="9"/>
        <v>4</v>
      </c>
      <c r="M82" s="29">
        <f t="shared" si="10"/>
        <v>0</v>
      </c>
      <c r="N82" s="27">
        <f t="shared" si="11"/>
        <v>1</v>
      </c>
    </row>
    <row r="83" spans="1:14" x14ac:dyDescent="0.3">
      <c r="A83" s="23" t="s">
        <v>273</v>
      </c>
      <c r="B83" s="23" t="s">
        <v>137</v>
      </c>
      <c r="C83" s="23" t="s">
        <v>53</v>
      </c>
      <c r="D83" s="25">
        <v>46224</v>
      </c>
      <c r="E83" s="25">
        <v>46265</v>
      </c>
      <c r="F83" s="25">
        <v>46264</v>
      </c>
      <c r="G83" s="23">
        <v>244</v>
      </c>
      <c r="H83" s="23">
        <v>244</v>
      </c>
      <c r="I83" s="23" t="s">
        <v>193</v>
      </c>
      <c r="J83" s="28">
        <v>120.48</v>
      </c>
      <c r="K83" s="26">
        <f t="shared" si="8"/>
        <v>29397.120000000003</v>
      </c>
      <c r="L83" s="16">
        <f t="shared" si="9"/>
        <v>-1</v>
      </c>
      <c r="M83" s="29">
        <f t="shared" si="10"/>
        <v>1</v>
      </c>
      <c r="N83" s="27">
        <f t="shared" si="11"/>
        <v>1</v>
      </c>
    </row>
    <row r="84" spans="1:14" x14ac:dyDescent="0.3">
      <c r="A84" s="23" t="s">
        <v>274</v>
      </c>
      <c r="B84" s="23" t="s">
        <v>145</v>
      </c>
      <c r="C84" s="23" t="s">
        <v>50</v>
      </c>
      <c r="D84" s="25">
        <v>46176</v>
      </c>
      <c r="E84" s="25">
        <v>46180</v>
      </c>
      <c r="F84" s="25">
        <v>46180</v>
      </c>
      <c r="G84" s="23">
        <v>311</v>
      </c>
      <c r="H84" s="23">
        <v>311</v>
      </c>
      <c r="I84" s="23" t="s">
        <v>193</v>
      </c>
      <c r="J84" s="28">
        <v>416.74</v>
      </c>
      <c r="K84" s="26">
        <f t="shared" si="8"/>
        <v>129606.14</v>
      </c>
      <c r="L84" s="16">
        <f t="shared" si="9"/>
        <v>0</v>
      </c>
      <c r="M84" s="29">
        <f t="shared" si="10"/>
        <v>1</v>
      </c>
      <c r="N84" s="27">
        <f t="shared" si="11"/>
        <v>1</v>
      </c>
    </row>
    <row r="85" spans="1:14" x14ac:dyDescent="0.3">
      <c r="A85" s="23" t="s">
        <v>275</v>
      </c>
      <c r="B85" s="23" t="s">
        <v>166</v>
      </c>
      <c r="C85" s="23" t="s">
        <v>59</v>
      </c>
      <c r="D85" s="25">
        <v>46177</v>
      </c>
      <c r="E85" s="25">
        <v>46213</v>
      </c>
      <c r="F85" s="25">
        <v>46211</v>
      </c>
      <c r="G85" s="23">
        <v>441</v>
      </c>
      <c r="H85" s="23">
        <v>441</v>
      </c>
      <c r="I85" s="23" t="s">
        <v>193</v>
      </c>
      <c r="J85" s="28">
        <v>413.03</v>
      </c>
      <c r="K85" s="26">
        <f t="shared" si="8"/>
        <v>182146.22999999998</v>
      </c>
      <c r="L85" s="16">
        <f t="shared" si="9"/>
        <v>-2</v>
      </c>
      <c r="M85" s="29">
        <f t="shared" si="10"/>
        <v>1</v>
      </c>
      <c r="N85" s="27">
        <f t="shared" si="11"/>
        <v>1</v>
      </c>
    </row>
    <row r="86" spans="1:14" x14ac:dyDescent="0.3">
      <c r="A86" s="23" t="s">
        <v>276</v>
      </c>
      <c r="B86" s="23" t="s">
        <v>156</v>
      </c>
      <c r="C86" s="23" t="s">
        <v>62</v>
      </c>
      <c r="D86" s="25">
        <v>46165</v>
      </c>
      <c r="E86" s="25">
        <v>46210</v>
      </c>
      <c r="F86" s="25">
        <v>46214</v>
      </c>
      <c r="G86" s="23">
        <v>315</v>
      </c>
      <c r="H86" s="23">
        <v>315</v>
      </c>
      <c r="I86" s="23" t="s">
        <v>193</v>
      </c>
      <c r="J86" s="28">
        <v>148.13</v>
      </c>
      <c r="K86" s="26">
        <f t="shared" si="8"/>
        <v>46660.95</v>
      </c>
      <c r="L86" s="16">
        <f t="shared" si="9"/>
        <v>4</v>
      </c>
      <c r="M86" s="29">
        <f t="shared" si="10"/>
        <v>0</v>
      </c>
      <c r="N86" s="27">
        <f t="shared" si="11"/>
        <v>1</v>
      </c>
    </row>
    <row r="87" spans="1:14" x14ac:dyDescent="0.3">
      <c r="A87" s="23" t="s">
        <v>277</v>
      </c>
      <c r="B87" s="23" t="s">
        <v>145</v>
      </c>
      <c r="C87" s="23" t="s">
        <v>50</v>
      </c>
      <c r="D87" s="25">
        <v>46261</v>
      </c>
      <c r="E87" s="25">
        <v>46265</v>
      </c>
      <c r="F87" s="25">
        <v>46264</v>
      </c>
      <c r="G87" s="23">
        <v>311</v>
      </c>
      <c r="H87" s="23">
        <v>221</v>
      </c>
      <c r="I87" s="23" t="s">
        <v>193</v>
      </c>
      <c r="J87" s="28">
        <v>416.74</v>
      </c>
      <c r="K87" s="26">
        <f t="shared" si="8"/>
        <v>92099.540000000008</v>
      </c>
      <c r="L87" s="16">
        <f t="shared" si="9"/>
        <v>-1</v>
      </c>
      <c r="M87" s="29">
        <f t="shared" si="10"/>
        <v>1</v>
      </c>
      <c r="N87" s="27">
        <f t="shared" si="11"/>
        <v>0.71061093247588425</v>
      </c>
    </row>
    <row r="88" spans="1:14" x14ac:dyDescent="0.3">
      <c r="A88" s="23" t="s">
        <v>278</v>
      </c>
      <c r="B88" s="23" t="s">
        <v>149</v>
      </c>
      <c r="C88" s="23" t="s">
        <v>59</v>
      </c>
      <c r="D88" s="25">
        <v>46111</v>
      </c>
      <c r="E88" s="25">
        <v>46131</v>
      </c>
      <c r="F88" s="25">
        <v>46131</v>
      </c>
      <c r="G88" s="23">
        <v>135</v>
      </c>
      <c r="H88" s="23">
        <v>135</v>
      </c>
      <c r="I88" s="23" t="s">
        <v>193</v>
      </c>
      <c r="J88" s="28">
        <v>12.6</v>
      </c>
      <c r="K88" s="26">
        <f t="shared" si="8"/>
        <v>1701</v>
      </c>
      <c r="L88" s="16">
        <f t="shared" si="9"/>
        <v>0</v>
      </c>
      <c r="M88" s="29">
        <f t="shared" si="10"/>
        <v>1</v>
      </c>
      <c r="N88" s="27">
        <f t="shared" si="11"/>
        <v>1</v>
      </c>
    </row>
    <row r="89" spans="1:14" x14ac:dyDescent="0.3">
      <c r="A89" s="23" t="s">
        <v>279</v>
      </c>
      <c r="B89" s="23" t="s">
        <v>170</v>
      </c>
      <c r="C89" s="23" t="s">
        <v>59</v>
      </c>
      <c r="D89" s="25">
        <v>46272</v>
      </c>
      <c r="E89" s="25">
        <v>46296</v>
      </c>
      <c r="F89" s="25"/>
      <c r="G89" s="23">
        <v>239</v>
      </c>
      <c r="H89" s="23">
        <v>0</v>
      </c>
      <c r="I89" s="23" t="s">
        <v>191</v>
      </c>
      <c r="J89" s="28">
        <v>125.02</v>
      </c>
      <c r="K89" s="26">
        <f t="shared" si="8"/>
        <v>0</v>
      </c>
      <c r="L89" s="16" t="str">
        <f t="shared" si="9"/>
        <v/>
      </c>
      <c r="M89" s="29" t="str">
        <f t="shared" si="10"/>
        <v/>
      </c>
      <c r="N89" s="27">
        <f t="shared" si="11"/>
        <v>0</v>
      </c>
    </row>
    <row r="90" spans="1:14" x14ac:dyDescent="0.3">
      <c r="A90" s="23" t="s">
        <v>280</v>
      </c>
      <c r="B90" s="23" t="s">
        <v>177</v>
      </c>
      <c r="C90" s="23" t="s">
        <v>56</v>
      </c>
      <c r="D90" s="25">
        <v>46268</v>
      </c>
      <c r="E90" s="25">
        <v>46297</v>
      </c>
      <c r="F90" s="25">
        <v>46296</v>
      </c>
      <c r="G90" s="23">
        <v>485</v>
      </c>
      <c r="H90" s="23">
        <v>485</v>
      </c>
      <c r="I90" s="23" t="s">
        <v>193</v>
      </c>
      <c r="J90" s="28">
        <v>96.82</v>
      </c>
      <c r="K90" s="26">
        <f t="shared" si="8"/>
        <v>46957.7</v>
      </c>
      <c r="L90" s="16">
        <f t="shared" si="9"/>
        <v>-1</v>
      </c>
      <c r="M90" s="29">
        <f t="shared" si="10"/>
        <v>1</v>
      </c>
      <c r="N90" s="27">
        <f t="shared" si="11"/>
        <v>1</v>
      </c>
    </row>
    <row r="91" spans="1:14" x14ac:dyDescent="0.3">
      <c r="A91" s="23" t="s">
        <v>281</v>
      </c>
      <c r="B91" s="23" t="s">
        <v>164</v>
      </c>
      <c r="C91" s="23" t="s">
        <v>62</v>
      </c>
      <c r="D91" s="25">
        <v>46186</v>
      </c>
      <c r="E91" s="25">
        <v>46195</v>
      </c>
      <c r="F91" s="25">
        <v>46200</v>
      </c>
      <c r="G91" s="23">
        <v>494</v>
      </c>
      <c r="H91" s="23">
        <v>494</v>
      </c>
      <c r="I91" s="23" t="s">
        <v>193</v>
      </c>
      <c r="J91" s="28">
        <v>223.48</v>
      </c>
      <c r="K91" s="26">
        <f t="shared" si="8"/>
        <v>110399.12</v>
      </c>
      <c r="L91" s="16">
        <f t="shared" si="9"/>
        <v>5</v>
      </c>
      <c r="M91" s="29">
        <f t="shared" si="10"/>
        <v>0</v>
      </c>
      <c r="N91" s="27">
        <f t="shared" si="11"/>
        <v>1</v>
      </c>
    </row>
  </sheetData>
  <conditionalFormatting sqref="L2:L91">
    <cfRule type="colorScale" priority="2">
      <colorScale>
        <cfvo type="min"/>
        <cfvo type="num" val="0"/>
        <cfvo type="max"/>
        <color rgb="FFC6E0B4"/>
        <color rgb="FFFFE699"/>
        <color rgb="FFF8CBAD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20" customWidth="1"/>
    <col min="3" max="3" width="2" customWidth="1"/>
    <col min="4" max="4" width="14" customWidth="1"/>
    <col min="5" max="5" width="12" customWidth="1"/>
    <col min="6" max="6" width="2" customWidth="1"/>
    <col min="7" max="7" width="26" customWidth="1"/>
    <col min="8" max="9" width="16" customWidth="1"/>
    <col min="10" max="10" width="2" customWidth="1"/>
    <col min="11" max="11" width="10" customWidth="1"/>
    <col min="12" max="12" width="14" customWidth="1"/>
  </cols>
  <sheetData>
    <row r="1" spans="1:12" x14ac:dyDescent="0.3">
      <c r="A1" s="14" t="s">
        <v>68</v>
      </c>
      <c r="B1" s="14" t="s">
        <v>75</v>
      </c>
      <c r="D1" s="14" t="s">
        <v>76</v>
      </c>
      <c r="E1" s="14" t="s">
        <v>282</v>
      </c>
      <c r="G1" s="14" t="s">
        <v>17</v>
      </c>
      <c r="H1" s="14" t="s">
        <v>283</v>
      </c>
      <c r="I1" s="14" t="s">
        <v>42</v>
      </c>
      <c r="K1" s="14" t="s">
        <v>284</v>
      </c>
      <c r="L1" s="14" t="s">
        <v>285</v>
      </c>
    </row>
    <row r="2" spans="1:12" x14ac:dyDescent="0.3">
      <c r="A2" s="22" t="s">
        <v>80</v>
      </c>
      <c r="B2" s="30">
        <f>SUMIFS(Inventory!$N$2:$N$49,Inventory!$C$2:$C$49,A2)</f>
        <v>253920.68999999997</v>
      </c>
      <c r="D2" s="22" t="s">
        <v>286</v>
      </c>
      <c r="E2" s="22">
        <f>COUNTIF(Inventory!$P$2:$P$49,D2)</f>
        <v>12</v>
      </c>
      <c r="G2" s="22" t="str">
        <f>Suppliers!B2</f>
        <v>Apex Components Ltd.</v>
      </c>
      <c r="H2" s="31">
        <f>IFERROR(VALUE(Suppliers!J2),0)</f>
        <v>0.8</v>
      </c>
      <c r="I2" s="30">
        <f>Suppliers!I2</f>
        <v>298024.36</v>
      </c>
      <c r="K2" s="22" t="s">
        <v>287</v>
      </c>
      <c r="L2" s="30">
        <f>SUMPRODUCT((TEXT('Purchase Orders'!$D$2:$D$91,"yyyy-mm")=K2)*'Purchase Orders'!$K$2:$K$91)</f>
        <v>408149.42000000004</v>
      </c>
    </row>
    <row r="3" spans="1:12" x14ac:dyDescent="0.3">
      <c r="A3" s="22" t="s">
        <v>84</v>
      </c>
      <c r="B3" s="30">
        <f>SUMIFS(Inventory!$N$2:$N$49,Inventory!$C$2:$C$49,A3)</f>
        <v>387936.83</v>
      </c>
      <c r="D3" s="22" t="s">
        <v>288</v>
      </c>
      <c r="E3" s="22">
        <f>COUNTIF(Inventory!$P$2:$P$49,D3)</f>
        <v>10</v>
      </c>
      <c r="G3" s="22" t="str">
        <f>Suppliers!B3</f>
        <v>Northline Materials Co.</v>
      </c>
      <c r="H3" s="31">
        <f>IFERROR(VALUE(Suppliers!J3),0)</f>
        <v>0.66666666666666663</v>
      </c>
      <c r="I3" s="30">
        <f>Suppliers!I3</f>
        <v>590717.50999999989</v>
      </c>
      <c r="K3" s="22" t="s">
        <v>289</v>
      </c>
      <c r="L3" s="30">
        <f>SUMPRODUCT((TEXT('Purchase Orders'!$D$2:$D$91,"yyyy-mm")=K3)*'Purchase Orders'!$K$2:$K$91)</f>
        <v>580153.92000000004</v>
      </c>
    </row>
    <row r="4" spans="1:12" x14ac:dyDescent="0.3">
      <c r="A4" s="22" t="s">
        <v>88</v>
      </c>
      <c r="B4" s="30">
        <f>SUMIFS(Inventory!$N$2:$N$49,Inventory!$C$2:$C$49,A4)</f>
        <v>293669.64</v>
      </c>
      <c r="D4" s="22" t="s">
        <v>290</v>
      </c>
      <c r="E4" s="22">
        <f>COUNTIF(Inventory!$P$2:$P$49,D4)</f>
        <v>26</v>
      </c>
      <c r="G4" s="22" t="str">
        <f>Suppliers!B4</f>
        <v>Global Pack Solutions</v>
      </c>
      <c r="H4" s="31">
        <f>IFERROR(VALUE(Suppliers!J4),0)</f>
        <v>0.88888888888888884</v>
      </c>
      <c r="I4" s="30">
        <f>Suppliers!I4</f>
        <v>1080550.3400000001</v>
      </c>
      <c r="K4" s="22" t="s">
        <v>291</v>
      </c>
      <c r="L4" s="30">
        <f>SUMPRODUCT((TEXT('Purchase Orders'!$D$2:$D$91,"yyyy-mm")=K4)*'Purchase Orders'!$K$2:$K$91)</f>
        <v>1333267.0699999998</v>
      </c>
    </row>
    <row r="5" spans="1:12" x14ac:dyDescent="0.3">
      <c r="A5" s="22" t="s">
        <v>92</v>
      </c>
      <c r="B5" s="30">
        <f>SUMIFS(Inventory!$N$2:$N$49,Inventory!$C$2:$C$49,A5)</f>
        <v>288754.67</v>
      </c>
      <c r="D5" s="22"/>
      <c r="E5" s="22"/>
      <c r="G5" s="22" t="str">
        <f>Suppliers!B5</f>
        <v>Sterling Hardware Inc.</v>
      </c>
      <c r="H5" s="31">
        <f>IFERROR(VALUE(Suppliers!J5),0)</f>
        <v>0.53333333333333333</v>
      </c>
      <c r="I5" s="30">
        <f>Suppliers!I5</f>
        <v>409604.89000000007</v>
      </c>
      <c r="K5" s="22" t="s">
        <v>292</v>
      </c>
      <c r="L5" s="30">
        <f>SUMPRODUCT((TEXT('Purchase Orders'!$D$2:$D$91,"yyyy-mm")=K5)*'Purchase Orders'!$K$2:$K$91)</f>
        <v>742766.68</v>
      </c>
    </row>
    <row r="6" spans="1:12" x14ac:dyDescent="0.3">
      <c r="A6" s="22" t="s">
        <v>95</v>
      </c>
      <c r="B6" s="30">
        <f>SUMIFS(Inventory!$N$2:$N$49,Inventory!$C$2:$C$49,A6)</f>
        <v>318556.23999999993</v>
      </c>
      <c r="D6" s="22"/>
      <c r="E6" s="22"/>
      <c r="G6" s="22" t="str">
        <f>Suppliers!B6</f>
        <v>Vertex Industrial Supply</v>
      </c>
      <c r="H6" s="31">
        <f>IFERROR(VALUE(Suppliers!J6),0)</f>
        <v>0.75</v>
      </c>
      <c r="I6" s="30">
        <f>Suppliers!I6</f>
        <v>555704.65</v>
      </c>
      <c r="K6" s="22" t="s">
        <v>293</v>
      </c>
      <c r="L6" s="30">
        <f>SUMPRODUCT((TEXT('Purchase Orders'!$D$2:$D$91,"yyyy-mm")=K6)*'Purchase Orders'!$K$2:$K$91)</f>
        <v>843098.57</v>
      </c>
    </row>
    <row r="7" spans="1:12" x14ac:dyDescent="0.3">
      <c r="A7" s="22" t="s">
        <v>99</v>
      </c>
      <c r="B7" s="30">
        <f>SUMIFS(Inventory!$N$2:$N$49,Inventory!$C$2:$C$49,A7)</f>
        <v>268086.67</v>
      </c>
      <c r="D7" s="22"/>
      <c r="E7" s="22"/>
      <c r="G7" s="22" t="str">
        <f>Suppliers!B7</f>
        <v>Meridian Parts Group</v>
      </c>
      <c r="H7" s="31">
        <f>IFERROR(VALUE(Suppliers!J7),0)</f>
        <v>0.55000000000000004</v>
      </c>
      <c r="I7" s="30">
        <f>Suppliers!I7</f>
        <v>1199685.6399999999</v>
      </c>
      <c r="K7" s="22" t="s">
        <v>294</v>
      </c>
      <c r="L7" s="30">
        <f>SUMPRODUCT((TEXT('Purchase Orders'!$D$2:$D$91,"yyyy-mm")=K7)*'Purchase Orders'!$K$2:$K$91)</f>
        <v>775473.03</v>
      </c>
    </row>
    <row r="8" spans="1:12" x14ac:dyDescent="0.3">
      <c r="A8" s="22"/>
      <c r="B8" s="22"/>
      <c r="D8" s="22"/>
      <c r="E8" s="22"/>
      <c r="G8" s="22" t="str">
        <f>Suppliers!B8</f>
        <v>Prime Consumables Corp.</v>
      </c>
      <c r="H8" s="31">
        <f>IFERROR(VALUE(Suppliers!J8),0)</f>
        <v>0.4</v>
      </c>
      <c r="I8" s="30">
        <f>Suppliers!I8</f>
        <v>374040.15</v>
      </c>
      <c r="K8" s="22" t="s">
        <v>295</v>
      </c>
      <c r="L8" s="30">
        <f>SUMPRODUCT((TEXT('Purchase Orders'!$D$2:$D$91,"yyyy-mm")=K8)*'Purchase Orders'!$K$2:$K$91)</f>
        <v>93747.099999999991</v>
      </c>
    </row>
    <row r="9" spans="1:12" x14ac:dyDescent="0.3">
      <c r="A9" s="22"/>
      <c r="B9" s="22"/>
      <c r="D9" s="22"/>
      <c r="E9" s="22"/>
      <c r="G9" s="22" t="str">
        <f>Suppliers!B9</f>
        <v>Horizon Machinery Traders</v>
      </c>
      <c r="H9" s="31">
        <f>IFERROR(VALUE(Suppliers!J9),0)</f>
        <v>0.66666666666666663</v>
      </c>
      <c r="I9" s="30">
        <f>Suppliers!I9</f>
        <v>268328.25</v>
      </c>
      <c r="K9" s="22"/>
      <c r="L9" s="2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Read Me</vt:lpstr>
      <vt:lpstr>Suppliers</vt:lpstr>
      <vt:lpstr>Inventory</vt:lpstr>
      <vt:lpstr>Purchase Orders</vt:lpstr>
      <vt:lpstr>ChartData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Ankita Singh</cp:lastModifiedBy>
  <cp:revision>1</cp:revision>
  <dcterms:created xsi:type="dcterms:W3CDTF">2026-09-07T18:25:37Z</dcterms:created>
  <dcterms:modified xsi:type="dcterms:W3CDTF">2026-09-07T18:28:22Z</dcterms:modified>
  <dc:language>en-US</dc:language>
</cp:coreProperties>
</file>